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Tables" sheetId="1" r:id="rId4"/>
    <sheet state="visible" name="Table 1" sheetId="2" r:id="rId5"/>
    <sheet state="visible" name="Table 2" sheetId="3" r:id="rId6"/>
    <sheet state="visible" name="Table 3" sheetId="4" r:id="rId7"/>
    <sheet state="visible" name="Table 4" sheetId="5" r:id="rId8"/>
    <sheet state="visible" name="Table 5" sheetId="6" r:id="rId9"/>
    <sheet state="visible" name="Table 6" sheetId="7" r:id="rId10"/>
    <sheet state="visible" name="Table 7" sheetId="8" r:id="rId11"/>
    <sheet state="visible" name="Table 8" sheetId="9" r:id="rId12"/>
    <sheet state="visible" name="Table 9" sheetId="10" r:id="rId13"/>
  </sheets>
  <definedNames/>
  <calcPr/>
  <extLst>
    <ext uri="GoogleSheetsCustomDataVersion2">
      <go:sheetsCustomData xmlns:go="http://customooxmlschemas.google.com/" r:id="rId14" roundtripDataChecksum="Ixdzt9n/1iNpML38E8zkhtbxexpmqV7iemIHO5IYx6E="/>
    </ext>
  </extLst>
</workbook>
</file>

<file path=xl/sharedStrings.xml><?xml version="1.0" encoding="utf-8"?>
<sst xmlns="http://schemas.openxmlformats.org/spreadsheetml/2006/main" count="1141" uniqueCount="467">
  <si>
    <t>List of Tables</t>
  </si>
  <si>
    <t>Table 1. Number and Total Employment of Establishments In Operation by Region: 2021 and 2018</t>
  </si>
  <si>
    <t>Table 2. Number and Total Employment of Establishments In Operation by Industry Section, and Region: 2021</t>
  </si>
  <si>
    <t xml:space="preserve">Table 3. Number and Total Employment of Establishments In Operation by Industry Group: 2021 </t>
  </si>
  <si>
    <t xml:space="preserve">Table 4. Number of Establishments In Operation by MSME, and Region: 2021 </t>
  </si>
  <si>
    <t xml:space="preserve">Table 5. Number of Establishments In Operation by MSME, and Industry Group: 2021 </t>
  </si>
  <si>
    <t xml:space="preserve">Table 6. Number and Total Employment of Newly Listed Establishments by Year Started Operation, Region, and Province: 2021 </t>
  </si>
  <si>
    <t xml:space="preserve">Table 7. Number of Newly Listed Establishments by MSME, and Region: 2021 </t>
  </si>
  <si>
    <t xml:space="preserve">Table 8. Number and Total Employment of Establishments with Permanently Closed (by Year Closed) and Temporarily Stopped Operation Status by Region, and Province: 2021 </t>
  </si>
  <si>
    <t>Table 9. Number of  Establishments with Permanently Closed and Temporarily Stopped Operation Status by MSME, and Industry Section: 2021</t>
  </si>
  <si>
    <t>Region</t>
  </si>
  <si>
    <t>Number of Establishments In Operation</t>
  </si>
  <si>
    <t>Total Employment of Establishments In Operation</t>
  </si>
  <si>
    <t>Growth Rate</t>
  </si>
  <si>
    <t>(1)</t>
  </si>
  <si>
    <t>(2)</t>
  </si>
  <si>
    <t>(3)</t>
  </si>
  <si>
    <t>(4)</t>
  </si>
  <si>
    <t>(5)</t>
  </si>
  <si>
    <t>(6)</t>
  </si>
  <si>
    <t>PHILIPPINES</t>
  </si>
  <si>
    <t>National Capital Region (NCR)</t>
  </si>
  <si>
    <t>Cordillera Administrative Region (CAR)</t>
  </si>
  <si>
    <t>Ilocos Region</t>
  </si>
  <si>
    <t>Cagayan Valley</t>
  </si>
  <si>
    <t>Central Luzon</t>
  </si>
  <si>
    <t>CALABARZON</t>
  </si>
  <si>
    <t>MIMAROPA</t>
  </si>
  <si>
    <t>Bicol Region</t>
  </si>
  <si>
    <t>Western Visayas</t>
  </si>
  <si>
    <t>Central Visayas</t>
  </si>
  <si>
    <t>Eastern Visayas</t>
  </si>
  <si>
    <t>Zamboanga Peninsula</t>
  </si>
  <si>
    <t>Northern Mindanao</t>
  </si>
  <si>
    <t>Davao Region</t>
  </si>
  <si>
    <t>SOCCSKSARGEN</t>
  </si>
  <si>
    <t>Caraga</t>
  </si>
  <si>
    <t>Bangsamoro Autonomous Region in Muslim Mindanao (BARMM)</t>
  </si>
  <si>
    <t xml:space="preserve">Table 2.  Number and Total Employment of  Establishments In Operation by Industry Section, and Region: 2021 </t>
  </si>
  <si>
    <t>Total Number of Establishments which are
 IN OPERATION</t>
  </si>
  <si>
    <t>Total Employment of Establishments which are
 IN OPERATION</t>
  </si>
  <si>
    <t>Number of Establishments In Operation by Industry Section</t>
  </si>
  <si>
    <t>Total Employment of Establishments In Operation by Industry Section</t>
  </si>
  <si>
    <t>A - Agriculture, forestry and fishing</t>
  </si>
  <si>
    <t>B - Mining and Quarrying</t>
  </si>
  <si>
    <t>C - Manufac-turing</t>
  </si>
  <si>
    <t>D = Electricity, gas, steam and air-conditioning supply</t>
  </si>
  <si>
    <t>E - Water supply, sewerage, waste management and remediation activities</t>
  </si>
  <si>
    <t>F - Construction</t>
  </si>
  <si>
    <t>G - Wholesale and retail trade; repair of motor vehicles and motorcycles</t>
  </si>
  <si>
    <t>H - Transportation and Storage</t>
  </si>
  <si>
    <t>I - Accommodation and food service activities</t>
  </si>
  <si>
    <t>J - Information and 
Communi-cation</t>
  </si>
  <si>
    <t>K - Financial and insurance activities</t>
  </si>
  <si>
    <t>L - Real estate activities</t>
  </si>
  <si>
    <t>M - Professional, scientific and technical services</t>
  </si>
  <si>
    <t>N - Adminis-trative and support service activities</t>
  </si>
  <si>
    <t>P - Education</t>
  </si>
  <si>
    <t>Q - Human health and social work activities</t>
  </si>
  <si>
    <t>R - Arts, entertain-ment and recreation</t>
  </si>
  <si>
    <t>S - Other service activities</t>
  </si>
  <si>
    <t>H - Transporta-tion and Storage</t>
  </si>
  <si>
    <t>I - Accommo-dation and food service activities</t>
  </si>
  <si>
    <t>N - Administra-tive and support service activities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</si>
  <si>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</si>
  <si>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</si>
  <si>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</si>
  <si>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</si>
  <si>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</si>
  <si>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</si>
  <si>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</si>
  <si>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</si>
  <si>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</si>
  <si>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</si>
  <si>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</si>
  <si>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</si>
  <si>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</si>
  <si>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</si>
  <si>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</si>
  <si>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</si>
  <si>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</si>
  <si>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</si>
  <si>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</si>
  <si>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</si>
  <si>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</si>
  <si>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</si>
  <si>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</si>
  <si>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</si>
  <si>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</si>
  <si>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</si>
  <si>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</si>
  <si>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</si>
  <si>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</si>
  <si>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</si>
  <si>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</si>
  <si>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</si>
  <si>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Source: Philippine Statistics Authority</t>
  </si>
  <si>
    <t>2021 Updating of the List of Establishments (ULE), Preliminary Results</t>
  </si>
  <si>
    <t>Industry Group
(3-digit)</t>
  </si>
  <si>
    <t>ALL INDUSTRY</t>
  </si>
  <si>
    <t>A011 - Growing of non-perennial crops</t>
  </si>
  <si>
    <t>A012 - Growing of perennial crops</t>
  </si>
  <si>
    <t>A013 - Plant propagation</t>
  </si>
  <si>
    <t>A014 - Animal production</t>
  </si>
  <si>
    <t>A015 - Support activities to agriculture and post-harvest crop activities</t>
  </si>
  <si>
    <t>A021 - Silviculture and other forestry activities</t>
  </si>
  <si>
    <t>A022 - Logging</t>
  </si>
  <si>
    <t>A024 - Support services to forestry</t>
  </si>
  <si>
    <t>A031 - Fishing</t>
  </si>
  <si>
    <t>A032 - Aquaculture</t>
  </si>
  <si>
    <t>B051 - Mining of hard coal</t>
  </si>
  <si>
    <t>B052 - Mining of lignite</t>
  </si>
  <si>
    <t>B061 - Extraction of crude petroleum</t>
  </si>
  <si>
    <t>B062 - Extraction of natural gas</t>
  </si>
  <si>
    <t>B071 - Mining of iron ores</t>
  </si>
  <si>
    <t>B072 - Mining of non-ferrous metal ores</t>
  </si>
  <si>
    <t>B081 - Quarrying of stone, sand and clay</t>
  </si>
  <si>
    <t>B089 - Mining and quarrying, n.e.c.</t>
  </si>
  <si>
    <t>B091 - Support activities for petroleum and gas extraction</t>
  </si>
  <si>
    <t>B099 - Support activities for other mining and quarrying</t>
  </si>
  <si>
    <t>C101 - Processing and preserving of meat</t>
  </si>
  <si>
    <t>C102 - Processing and preserving of fish, crustaceans and mollusks</t>
  </si>
  <si>
    <t>C103 - Processing and preserving of fruits and vegetables</t>
  </si>
  <si>
    <t>C104 - Manufacture of vegetable and animal oils and fats</t>
  </si>
  <si>
    <t>C105 - Manufacture of dairy products</t>
  </si>
  <si>
    <t>C106 - Manufacture of grain mill products, starches and starch products</t>
  </si>
  <si>
    <t>C107 - Manufacture of other food products</t>
  </si>
  <si>
    <t>C108 - Manufacture of prepared animal feeds</t>
  </si>
  <si>
    <t>C110 - Manufacture of beverages</t>
  </si>
  <si>
    <t>C120 - Manufacture of tobacco products</t>
  </si>
  <si>
    <t>C131 - Spinning, weaving and finishing of textiles</t>
  </si>
  <si>
    <t>C139 - Manufacture of other textiles</t>
  </si>
  <si>
    <t>C141 - Manufacture of wearing apparel, except fur apparel</t>
  </si>
  <si>
    <t>C142 - Custom tailoring and dressmaking</t>
  </si>
  <si>
    <t>C143 - Manufacture of knitted and crocheted apparel</t>
  </si>
  <si>
    <t>C151 - Tanning and dressing of leather; manufacture of luggage and handbags</t>
  </si>
  <si>
    <t>C152 - Manufacture of footwear</t>
  </si>
  <si>
    <t>C161 - Sawmilling and planing of wood</t>
  </si>
  <si>
    <t>C162 - Manufacture of products of wood, cork, straw and plaiting materials</t>
  </si>
  <si>
    <t>C170 - Manufacture of paper and paper products</t>
  </si>
  <si>
    <t>C181 - Printing and service activities related to printing</t>
  </si>
  <si>
    <t>C182 - Reproduction of recorded media</t>
  </si>
  <si>
    <t>C191 - Manufacture of coke oven products</t>
  </si>
  <si>
    <t>C192 - Manufacture of refined petroleum products</t>
  </si>
  <si>
    <t>C199 - Manufacture of other fuel products</t>
  </si>
  <si>
    <t>C201 - Manufacture of basic chemicals</t>
  </si>
  <si>
    <t>C202 - Manufacture of other chemical products, n.e.c.</t>
  </si>
  <si>
    <t>C203 - Manufacture of man-made fibers</t>
  </si>
  <si>
    <t>C210 - Manufacture of pharmaceuticals, medicinal chemical and botanical products</t>
  </si>
  <si>
    <t>C221 - Manufacture of rubber products</t>
  </si>
  <si>
    <t>C222 - Manufacture of plastics products</t>
  </si>
  <si>
    <t>C231 - Manufacture of glass and glass products</t>
  </si>
  <si>
    <t>C239 - Manufacture of non-metallic mineral products, n.e.c.</t>
  </si>
  <si>
    <t>C241 - Manufacture of basic iron and steel</t>
  </si>
  <si>
    <t>C242 - Manufacture of basic precious and other non-ferrous metals</t>
  </si>
  <si>
    <t>C243 - Casting of metals</t>
  </si>
  <si>
    <t>C251 - Manufacture of structural metal products, tanks, reservoirs and steam generators</t>
  </si>
  <si>
    <t>C252 - Manufacture of weapons and ammunition</t>
  </si>
  <si>
    <t>C259 - Manufacture of other fabricated metal products; metal working service activities</t>
  </si>
  <si>
    <t>C261 - Manufacture of electronic components</t>
  </si>
  <si>
    <t>C262 - Manufacture of computers and peripheral equipment and accessories</t>
  </si>
  <si>
    <t>C263 - Manufacture of communication equipment</t>
  </si>
  <si>
    <t>C264 - Manufacture of consumer electronics</t>
  </si>
  <si>
    <t>C265 - Manufacture of measuring, testing, navigating and control equipment; watches and clocks</t>
  </si>
  <si>
    <t>C266 - Manufacture of irradiation, electromedical and electrotherapeutic equipment</t>
  </si>
  <si>
    <t>C267 - Manufacture of optical instruments and photographic equipment</t>
  </si>
  <si>
    <t>C271 - Manufacture of electric motors, generators, transformers and electricity distribution and control apparatus</t>
  </si>
  <si>
    <t>C272 - Manufacture of batteries and accumulators</t>
  </si>
  <si>
    <t>C273 - Manufacture of wiring and wiring devices</t>
  </si>
  <si>
    <t>C274 - Manufacture of electric lighting equipment</t>
  </si>
  <si>
    <t>C275 - Manufacture of domestic appliances</t>
  </si>
  <si>
    <t>C279 - Manufacture of other electrical equipment</t>
  </si>
  <si>
    <t>C281 - Manufacture of general purpose machinery</t>
  </si>
  <si>
    <t>C282 - Manufacture of special purpose machinery</t>
  </si>
  <si>
    <t>C291 - Manufacture of motor vehicles</t>
  </si>
  <si>
    <t>C292 - Manufacture of bodies (coachwork) for motor vehicles; manufacture of trailers and semi-trailers</t>
  </si>
  <si>
    <t xml:space="preserve">C293 - Manufacture of parts and accessories for motor vehicles </t>
  </si>
  <si>
    <t>C301 - Building of ships and boats</t>
  </si>
  <si>
    <t>C302 - Manufacture of railway locomotive and rolling stock</t>
  </si>
  <si>
    <t>C303 - Manufacture of air and spacecraft and related machinery</t>
  </si>
  <si>
    <t xml:space="preserve">C304 - Manufacture of military fighting vehicles </t>
  </si>
  <si>
    <t>C309 - Manufacture of transport equipment, n.e.c.</t>
  </si>
  <si>
    <t>C310 - Manufacture of furniture</t>
  </si>
  <si>
    <t>C321 - Manufacture of jewelry, bijouterie and related articles</t>
  </si>
  <si>
    <t>C322 - Manufacture of musical instruments</t>
  </si>
  <si>
    <t>C323 - Manufacture of sports goods</t>
  </si>
  <si>
    <t>C324 - Manufacture of games and toys</t>
  </si>
  <si>
    <t>C325 - Manufacture of medical and dental instruments and supplies</t>
  </si>
  <si>
    <t>C329 - Other manufacturing, n.e.c.</t>
  </si>
  <si>
    <t>C331 - Repair of fabricated metal products, machinery and equipment</t>
  </si>
  <si>
    <t>C332 - Installation of industrial machinery and equipment</t>
  </si>
  <si>
    <t>D351 - Electric power generation, transmission and distribution</t>
  </si>
  <si>
    <t>D352 - Manufacture of gas; distribution of gaseous fuels through mains</t>
  </si>
  <si>
    <t>D353 - Steam, air conditioning supply and production of ice</t>
  </si>
  <si>
    <t>E360 - Water collection, treatment and supply</t>
  </si>
  <si>
    <t>E370 - Sewerage</t>
  </si>
  <si>
    <t>E381 - Waste collection</t>
  </si>
  <si>
    <t>E382 - Waste treatment and disposal</t>
  </si>
  <si>
    <t>E383 - Materials recovery</t>
  </si>
  <si>
    <t>E390 - Remediation activities and other waste management services</t>
  </si>
  <si>
    <t>F410 - Construction of buildings</t>
  </si>
  <si>
    <t>F421 - Construction of roads and railways</t>
  </si>
  <si>
    <t>F422 - Construction of utility projects</t>
  </si>
  <si>
    <t>F429 - Construction of other civil engineering projects</t>
  </si>
  <si>
    <t>F431 - Demolition and site preparation</t>
  </si>
  <si>
    <t>F432 - Electrical, plumbing and other construction installation activities</t>
  </si>
  <si>
    <t>F433 - Building completion and finishing</t>
  </si>
  <si>
    <t>F439 - Other specialized construction activities</t>
  </si>
  <si>
    <t>G451 - Sale of motor vehicles</t>
  </si>
  <si>
    <t>G452 - Maintenance and repair of motor vehicles</t>
  </si>
  <si>
    <t>G453 - Sale of motor vehicle parts and accessories</t>
  </si>
  <si>
    <t>G454 - Sale, maintenance and repair of motorcycles and related parts and accessories</t>
  </si>
  <si>
    <t>G461 - Wholesale on a fee or contract basis</t>
  </si>
  <si>
    <t>G462 - Wholesale of agricultural raw materials and live animals</t>
  </si>
  <si>
    <t>G463 - Wholesale of food, beverages and tobacco</t>
  </si>
  <si>
    <t>G464 - Wholesale of household goods</t>
  </si>
  <si>
    <t>G465 - Wholesale of machinery, equipment and supplies</t>
  </si>
  <si>
    <t>G466 - Other specialized wholesale</t>
  </si>
  <si>
    <t>G469 - Non-specialized wholesale trade</t>
  </si>
  <si>
    <t>G471 - Retail sale in non-specialized stores</t>
  </si>
  <si>
    <t>G472 - Retail sale of food, beverages and tobacco in specialized stores</t>
  </si>
  <si>
    <t>G473 - Retail sale of automotive fuel in specialized stores</t>
  </si>
  <si>
    <t>G474 - Retail sale of information and communications equipment in specialized stores</t>
  </si>
  <si>
    <t>G475 - Retail sale of other household equipment in specialized stores</t>
  </si>
  <si>
    <t>G476 - Retail sale of cultural and recreation goods in specialized stores</t>
  </si>
  <si>
    <t>G477 - Retail sale of other goods in specialized stores</t>
  </si>
  <si>
    <t>G479 - Retail trade not in stores, stalls or markets</t>
  </si>
  <si>
    <t>H491 - Transport via railways</t>
  </si>
  <si>
    <t>H492 - Transport via buses</t>
  </si>
  <si>
    <t>H493 - Other land transport</t>
  </si>
  <si>
    <t>H501 - Sea and coastal water transport</t>
  </si>
  <si>
    <t>H502 - Inland water transport</t>
  </si>
  <si>
    <t>H511 - Passenger air transport</t>
  </si>
  <si>
    <t>H512 - Freight air transport</t>
  </si>
  <si>
    <t>H521 - Warehousing and storage</t>
  </si>
  <si>
    <t>H522 - Support activities for transportation</t>
  </si>
  <si>
    <t>H531 - Postal activities</t>
  </si>
  <si>
    <t>H532 - Courier activities</t>
  </si>
  <si>
    <t>I551 - Short term accommodation activities</t>
  </si>
  <si>
    <t>I559 - Other accommodation</t>
  </si>
  <si>
    <t>I561 - Restaurants and mobile food service activities</t>
  </si>
  <si>
    <t>I562 - Event catering and other food service activities</t>
  </si>
  <si>
    <t>I563 - Beverage serving activities</t>
  </si>
  <si>
    <t>J581 - Publishing of books, periodicals and other publishing activities</t>
  </si>
  <si>
    <t>J582 - Software publishing</t>
  </si>
  <si>
    <t>J591 - Motion picture, video and television programme production activities</t>
  </si>
  <si>
    <t>J592 - Sound recording and music publishing activities</t>
  </si>
  <si>
    <t>J601 - Radio broadcasting</t>
  </si>
  <si>
    <t>J602 - Television programming and broadcasting activities</t>
  </si>
  <si>
    <t>J611 - Wired telecommunications activities</t>
  </si>
  <si>
    <t>J612 - Wireless telecommunications activities</t>
  </si>
  <si>
    <t>J613 - Satellite telecommunications activities</t>
  </si>
  <si>
    <t>J619 - Other telecommunications activities</t>
  </si>
  <si>
    <t>J620 - Computer programming, consultancy and related activities</t>
  </si>
  <si>
    <t>J631 - Data processing, hosting and related activities; web portals</t>
  </si>
  <si>
    <t>J639 - Other information service activities</t>
  </si>
  <si>
    <t>K641 - Monetary intermediation</t>
  </si>
  <si>
    <t>K642 - Activities of holding companies</t>
  </si>
  <si>
    <t>K643 - Trusts, funds and other financial vehicles</t>
  </si>
  <si>
    <t>K649 - Other financial service activities, except insurance and pension funding activities</t>
  </si>
  <si>
    <t>K651 - Insurance</t>
  </si>
  <si>
    <t>K652 - Reinsurance</t>
  </si>
  <si>
    <t xml:space="preserve">K653 - Pension funding </t>
  </si>
  <si>
    <t>K661 - Activities auxiliary to financial service, except insurance and pension funding</t>
  </si>
  <si>
    <t xml:space="preserve">K662 - Activities auxiliary to insurance and pension funding </t>
  </si>
  <si>
    <t>K663 - Fund management activities</t>
  </si>
  <si>
    <t>L681 - Real estate activities with own or leased property</t>
  </si>
  <si>
    <t>L682 - Real estate activities on a fee or contract basis</t>
  </si>
  <si>
    <t>M691 - Legal activities</t>
  </si>
  <si>
    <t>M692 - Accounting, bookkeeping and auditing activities; tax consultancy</t>
  </si>
  <si>
    <t>M701 - Activities of head offices</t>
  </si>
  <si>
    <t>M702 - Management consultancy activities</t>
  </si>
  <si>
    <t>M711 - Architectural and engineering activities and related technical consultancy</t>
  </si>
  <si>
    <t>M712 - Technical testing and analysis</t>
  </si>
  <si>
    <t>M721 - Research and experimental development on natural sciences and engineering</t>
  </si>
  <si>
    <t>M722 - Research and experimental development on social sciences and humanities</t>
  </si>
  <si>
    <t>M723 - Research and experimental development in information technology</t>
  </si>
  <si>
    <t>M731 - Advertising</t>
  </si>
  <si>
    <t>M732 - Market research and public opinion polling</t>
  </si>
  <si>
    <t>M741 - Specialized design activities</t>
  </si>
  <si>
    <t>M742 - Photographic activities</t>
  </si>
  <si>
    <t>M749 - Other professional, scientific and technical activities, n.e.c.</t>
  </si>
  <si>
    <t>M750 - Veterinary activities</t>
  </si>
  <si>
    <t>N771 - Renting and leasing of motor vehicles (except motorcycle, caravans, campers)</t>
  </si>
  <si>
    <t>N772 - Renting and leasing of personal and household goods</t>
  </si>
  <si>
    <t>N773 - Renting and leasing of other machinery, equipment and tangible goods</t>
  </si>
  <si>
    <t>N774 - Leasing of intellectual property and similar products, except copyrighted works</t>
  </si>
  <si>
    <t>N781 - Activities of employment placement agencies</t>
  </si>
  <si>
    <t>N782 - Temporary employment agency activities</t>
  </si>
  <si>
    <t>N783 - Other human resources provision</t>
  </si>
  <si>
    <t>N791 - Travel agency and tour operator activities</t>
  </si>
  <si>
    <t>N799 - Other reservation service and related activities</t>
  </si>
  <si>
    <t>N801 - Private security activities</t>
  </si>
  <si>
    <t>N802 - Security systems service activities</t>
  </si>
  <si>
    <t>N803 - Investigation activities</t>
  </si>
  <si>
    <t>N811 - Combined facilities support activities</t>
  </si>
  <si>
    <t>N812 - Cleaning activities</t>
  </si>
  <si>
    <t>N813 - Landscape care and maintenance service activities</t>
  </si>
  <si>
    <t>N821 - Office administrative and support activities</t>
  </si>
  <si>
    <t>N822 - Call centers and other related activities</t>
  </si>
  <si>
    <t xml:space="preserve">N823 - Organization of conventions and trade shows </t>
  </si>
  <si>
    <t>N829 - Business support service activities, n.e.c.</t>
  </si>
  <si>
    <t xml:space="preserve">P851 - Pre-primary/pre-school education </t>
  </si>
  <si>
    <t>P852 - Primary/elementary  education</t>
  </si>
  <si>
    <t>P853 - Secondary/High School Education</t>
  </si>
  <si>
    <t>P854 - Higher education</t>
  </si>
  <si>
    <t>P855 - Other education services</t>
  </si>
  <si>
    <t>P856 - Educational support services</t>
  </si>
  <si>
    <t>Q861 - Hospital activities</t>
  </si>
  <si>
    <t>Q862 - Medical and dental practice activities</t>
  </si>
  <si>
    <t>Q869 - Other human health activities</t>
  </si>
  <si>
    <t>Q871 - Residential nursing care facilities</t>
  </si>
  <si>
    <t>Q872 - Residential care activities for mental retardation, mental health and substance abuse</t>
  </si>
  <si>
    <t>Q873 - Residential care activities for the elderly and disabled</t>
  </si>
  <si>
    <t>Q879 - Other residential care activities, n.e.c.</t>
  </si>
  <si>
    <t>Q881 - Social work activities without accommodation for the elderly and disabled</t>
  </si>
  <si>
    <t>Q889 - Other social work activities without accommodation, n.e.c.</t>
  </si>
  <si>
    <t>R900 - Creative, arts and entertainment activities</t>
  </si>
  <si>
    <t>R910 - Libraries, archives, museums and other cultural activities</t>
  </si>
  <si>
    <t>R920 - Gambling and betting activities</t>
  </si>
  <si>
    <t>R931 - Sports activities</t>
  </si>
  <si>
    <t>R932 - Other amusement and recreation activities</t>
  </si>
  <si>
    <t>S951 - Repair of computers and communications equipment</t>
  </si>
  <si>
    <t>S952 - Repair of personal and household goods</t>
  </si>
  <si>
    <t>S961 - Personal services for wellness, except sports activities</t>
  </si>
  <si>
    <t>S962 - Laundry services</t>
  </si>
  <si>
    <t>S963 - Funeral and related activities</t>
  </si>
  <si>
    <t>S964 - Domestic services</t>
  </si>
  <si>
    <t>S969 - Other personal service activities, n.e.c.</t>
  </si>
  <si>
    <t>Table 4. Number of Establishments In Operation by MSME, and Region: 2021</t>
  </si>
  <si>
    <t>Region/
Province/
City/Municipality</t>
  </si>
  <si>
    <t xml:space="preserve">Total </t>
  </si>
  <si>
    <t>MSME Employment Grouping</t>
  </si>
  <si>
    <t>Micro
(TE  1 to 9)</t>
  </si>
  <si>
    <t>Small
(TE  10 to 99)</t>
  </si>
  <si>
    <t>Medium
(TE  100 to 199)</t>
  </si>
  <si>
    <t>Large
(TE  200 or more)</t>
  </si>
  <si>
    <t>City of Manila</t>
  </si>
  <si>
    <t>Mandaluyong City</t>
  </si>
  <si>
    <t>San Juan City</t>
  </si>
  <si>
    <t>Marikina City</t>
  </si>
  <si>
    <t>Quezon City</t>
  </si>
  <si>
    <t>Makati City</t>
  </si>
  <si>
    <t>Pasig City</t>
  </si>
  <si>
    <t>Pateros</t>
  </si>
  <si>
    <t>Taguig City</t>
  </si>
  <si>
    <t>Caloocan City</t>
  </si>
  <si>
    <t>Malabon City</t>
  </si>
  <si>
    <t>Navotas City</t>
  </si>
  <si>
    <t>Valenzuela City</t>
  </si>
  <si>
    <t>Las Piñas City</t>
  </si>
  <si>
    <t>Muntinlupa City</t>
  </si>
  <si>
    <t>Parañaque City</t>
  </si>
  <si>
    <t>Pasay City</t>
  </si>
  <si>
    <t>Abra</t>
  </si>
  <si>
    <t>Apayao</t>
  </si>
  <si>
    <t>-</t>
  </si>
  <si>
    <t>Benguet</t>
  </si>
  <si>
    <t>Ifugao</t>
  </si>
  <si>
    <t>Kalinga</t>
  </si>
  <si>
    <t>Mountain Province</t>
  </si>
  <si>
    <t>Ilocos Norte</t>
  </si>
  <si>
    <t>Ilocos Sur</t>
  </si>
  <si>
    <t>La Union</t>
  </si>
  <si>
    <t>Pangasinan</t>
  </si>
  <si>
    <t>Batanes</t>
  </si>
  <si>
    <t>Cagayan</t>
  </si>
  <si>
    <t>Isabela</t>
  </si>
  <si>
    <t>Nueva Vizcaya</t>
  </si>
  <si>
    <t>Quirino</t>
  </si>
  <si>
    <t>Aurora</t>
  </si>
  <si>
    <t>Bataan</t>
  </si>
  <si>
    <t>Bulacan</t>
  </si>
  <si>
    <t>Nueva Ecija</t>
  </si>
  <si>
    <t>Pampanga</t>
  </si>
  <si>
    <t>Tarlac</t>
  </si>
  <si>
    <t>Zambales</t>
  </si>
  <si>
    <t>Batangas</t>
  </si>
  <si>
    <t>Cavite</t>
  </si>
  <si>
    <t>Laguna</t>
  </si>
  <si>
    <t>Quezon</t>
  </si>
  <si>
    <t>Rizal</t>
  </si>
  <si>
    <t>Marinduque</t>
  </si>
  <si>
    <t>Occidental Mindoro</t>
  </si>
  <si>
    <t>Oriental Mindoro</t>
  </si>
  <si>
    <t>Palawan</t>
  </si>
  <si>
    <t>Romblon</t>
  </si>
  <si>
    <t>Albay</t>
  </si>
  <si>
    <t>Camarines Norte</t>
  </si>
  <si>
    <t>Camarines Sur</t>
  </si>
  <si>
    <t>Catanduanes</t>
  </si>
  <si>
    <t>Masbate</t>
  </si>
  <si>
    <t>Sorsogon</t>
  </si>
  <si>
    <t>Aklan</t>
  </si>
  <si>
    <t>Antique</t>
  </si>
  <si>
    <t>Capiz</t>
  </si>
  <si>
    <t>Guimaras</t>
  </si>
  <si>
    <t>Iloilo</t>
  </si>
  <si>
    <t>Negros Occidental</t>
  </si>
  <si>
    <t>Bohol</t>
  </si>
  <si>
    <t>Cebu</t>
  </si>
  <si>
    <t>Negros Oriental</t>
  </si>
  <si>
    <t>Siquijor</t>
  </si>
  <si>
    <t>Biliran</t>
  </si>
  <si>
    <t>Eastern Samar</t>
  </si>
  <si>
    <t>Leyte</t>
  </si>
  <si>
    <t>Northern Samar</t>
  </si>
  <si>
    <t>Samar (Western Samar)</t>
  </si>
  <si>
    <t>Southern Leyte</t>
  </si>
  <si>
    <t>Zamboanga City</t>
  </si>
  <si>
    <t>Zamboanga Del Norte</t>
  </si>
  <si>
    <t>Zamboanga Del Sur</t>
  </si>
  <si>
    <t>Zamboanga Sibugay</t>
  </si>
  <si>
    <t>Bukidnon</t>
  </si>
  <si>
    <t>Camiguin</t>
  </si>
  <si>
    <t>Lanao Del Norte</t>
  </si>
  <si>
    <t>Misamis Occidental</t>
  </si>
  <si>
    <t>Misamis Oriental</t>
  </si>
  <si>
    <t>Davao de Oro</t>
  </si>
  <si>
    <t>Davao Del Norte</t>
  </si>
  <si>
    <t>Davao Del Sur</t>
  </si>
  <si>
    <t>Davao Occidental</t>
  </si>
  <si>
    <t>Davao Oriental</t>
  </si>
  <si>
    <t>Cotabato (North Cotabato)</t>
  </si>
  <si>
    <t>Sarangani including Gen Santos City</t>
  </si>
  <si>
    <t>South Cotabato Excluding Gen. Santos City</t>
  </si>
  <si>
    <t>Sultan Kudarat</t>
  </si>
  <si>
    <t>Agusan Del Norte</t>
  </si>
  <si>
    <t>Agusan Del Sur</t>
  </si>
  <si>
    <t>Dinagat Islands</t>
  </si>
  <si>
    <t>Surigao Del Norte</t>
  </si>
  <si>
    <t>Surigao Del Sur</t>
  </si>
  <si>
    <t>Basilan</t>
  </si>
  <si>
    <t>Lanao Del Sur</t>
  </si>
  <si>
    <t>Maguindanao</t>
  </si>
  <si>
    <t>Sulu</t>
  </si>
  <si>
    <t>Tawi-Tawi</t>
  </si>
  <si>
    <t>B091-Support activities for petroleum and gas extraction</t>
  </si>
  <si>
    <t>Number of Newly Listed Establishments</t>
  </si>
  <si>
    <t xml:space="preserve">Total Employment of Newly Listed Establishments </t>
  </si>
  <si>
    <t xml:space="preserve">Total No. of Establishments </t>
  </si>
  <si>
    <t>Year Started Operation (YSO)</t>
  </si>
  <si>
    <t>Total Employment</t>
  </si>
  <si>
    <t>Before 2019</t>
  </si>
  <si>
    <t>2019</t>
  </si>
  <si>
    <t>2020</t>
  </si>
  <si>
    <t>2021</t>
  </si>
  <si>
    <t xml:space="preserve">Number of Newly Listed Establishments </t>
  </si>
  <si>
    <t>Total Number of Establishments with Permanently Closed and Temporarily Stopped Operation Status</t>
  </si>
  <si>
    <r>
      <rPr>
        <rFont val="Arial"/>
        <color rgb="FF000000"/>
        <sz val="12.0"/>
      </rPr>
      <t>Number of Establishments with</t>
    </r>
    <r>
      <rPr>
        <rFont val="Arial"/>
        <i/>
        <color rgb="FF000000"/>
        <sz val="12.0"/>
      </rPr>
      <t xml:space="preserve"> </t>
    </r>
    <r>
      <rPr>
        <rFont val="Arial"/>
        <i/>
        <color rgb="FF000000"/>
        <sz val="12.0"/>
        <u/>
      </rPr>
      <t>Permanently Closed</t>
    </r>
    <r>
      <rPr>
        <rFont val="Arial"/>
        <color rgb="FF000000"/>
        <sz val="12.0"/>
      </rPr>
      <t xml:space="preserve"> Status</t>
    </r>
  </si>
  <si>
    <t>Number of Establishments with Temporarily Stopped Operation Status</t>
  </si>
  <si>
    <t>Total Employment of Establishments with Permanently Closed and Temporarily Stopped Operation Status</t>
  </si>
  <si>
    <t>Total Employment of Establishments with Permanently Closed Status</t>
  </si>
  <si>
    <t>Total Employment of Establishments with Temporarily Stopped Operation Status</t>
  </si>
  <si>
    <t xml:space="preserve">Total No. of Establishments with Permanently Closed Status </t>
  </si>
  <si>
    <t>Year Permanently Closed  (YC)</t>
  </si>
  <si>
    <t>Table 9. Number of Establishments with Permanently Closed and Temporarily Stopped Operation Status by MSME, and Industry Section: 2021</t>
  </si>
  <si>
    <t>Industry Section</t>
  </si>
  <si>
    <t>Number of Establishments with Permanently Closed and Temporarily Stopped Operation Status</t>
  </si>
  <si>
    <t>Number of Establishments with Permanently Closed Status</t>
  </si>
  <si>
    <t>Number of Establishments with Temporarily Closed Status</t>
  </si>
  <si>
    <t>Total</t>
  </si>
  <si>
    <t>C - Manufacturing</t>
  </si>
  <si>
    <t>D - Electricity, gas, steam and air-conditioning supply</t>
  </si>
  <si>
    <t>J - Information and Communication</t>
  </si>
  <si>
    <t>N - Administrative and support service activities</t>
  </si>
  <si>
    <t>R - Arts, entertainment and recreation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</si>
</sst>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* #,##0_);_(* \(#,##0\);_(* &quot;-&quot;??_);_(@_)"/>
    <numFmt numFmtId="165" formatCode="0.0%"/>
    <numFmt numFmtId="166" formatCode="_-* #,##0_-;\-* #,##0_-;_-* &quot;-&quot;??_-;_-@"/>
    <numFmt numFmtId="167" formatCode="_(* #,##0.000_);_(* \(#,##0.000\);_(* &quot;-&quot;??_);_(@_)"/>
    <numFmt numFmtId="168" formatCode="_(* #,##0.0000_);_(* \(#,##0.0000\);_(* &quot;-&quot;??_);_(@_)"/>
    <numFmt numFmtId="169" formatCode="_-* #,##0.000_-;\-* #,##0.000_-;_-* &quot;-&quot;??_-;_-@"/>
    <numFmt numFmtId="170" formatCode="_(* #,##0.00_);_(* \(#,##0.00\);_(* &quot;-&quot;??_);_(@_)"/>
    <numFmt numFmtId="171" formatCode="_-* #,##0_-;\-* #,##0_-;_-* &quot;-&quot;_-;_-@"/>
  </numFmts>
  <fonts count="7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i/>
      <sz val="12.0"/>
      <color theme="1"/>
      <name val="Arial"/>
    </font>
    <font>
      <b/>
      <sz val="12.0"/>
      <color rgb="FF000000"/>
      <name val="Arial"/>
    </font>
    <font/>
    <font>
      <sz val="12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D6DCE4"/>
        <bgColor rgb="FFD6DCE4"/>
      </patternFill>
    </fill>
    <fill>
      <patternFill patternType="solid">
        <fgColor rgb="FFB4C6E7"/>
        <bgColor rgb="FFB4C6E7"/>
      </patternFill>
    </fill>
    <fill>
      <patternFill patternType="solid">
        <fgColor rgb="FFCCFFFF"/>
        <bgColor rgb="FFCCFFFF"/>
      </patternFill>
    </fill>
    <fill>
      <patternFill patternType="solid">
        <fgColor rgb="FFE7E6E6"/>
        <bgColor rgb="FFE7E6E6"/>
      </patternFill>
    </fill>
  </fills>
  <borders count="27">
    <border/>
    <border>
      <top style="thin">
        <color rgb="FF000000"/>
      </top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top style="thin">
        <color rgb="FF8EAADB"/>
      </top>
    </border>
    <border>
      <right style="thin">
        <color rgb="FF000000"/>
      </right>
      <top style="thin">
        <color rgb="FF8EAADB"/>
      </top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Font="1"/>
    <xf borderId="2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3" numFmtId="0" xfId="0" applyFont="1"/>
    <xf borderId="3" fillId="2" fontId="4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8" fillId="0" fontId="5" numFmtId="0" xfId="0" applyBorder="1" applyFont="1"/>
    <xf quotePrefix="1" borderId="7" fillId="2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vertical="center"/>
    </xf>
    <xf borderId="0" fillId="0" fontId="6" numFmtId="164" xfId="0" applyFont="1" applyNumberFormat="1"/>
    <xf borderId="0" fillId="0" fontId="2" numFmtId="0" xfId="0" applyAlignment="1" applyFont="1">
      <alignment horizontal="center"/>
    </xf>
    <xf borderId="9" fillId="0" fontId="1" numFmtId="0" xfId="0" applyBorder="1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Font="1"/>
    <xf borderId="9" fillId="0" fontId="2" numFmtId="0" xfId="0" applyBorder="1" applyFont="1"/>
    <xf borderId="0" fillId="0" fontId="2" numFmtId="164" xfId="0" applyFont="1" applyNumberFormat="1"/>
    <xf borderId="0" fillId="0" fontId="2" numFmtId="165" xfId="0" applyFont="1" applyNumberFormat="1"/>
    <xf borderId="9" fillId="0" fontId="2" numFmtId="0" xfId="0" applyAlignment="1" applyBorder="1" applyFont="1">
      <alignment shrinkToFit="0" wrapText="1"/>
    </xf>
    <xf borderId="3" fillId="3" fontId="4" numFmtId="0" xfId="0" applyAlignment="1" applyBorder="1" applyFill="1" applyFont="1">
      <alignment horizontal="center" shrinkToFit="0" vertical="center" wrapText="1"/>
    </xf>
    <xf borderId="3" fillId="3" fontId="4" numFmtId="164" xfId="0" applyAlignment="1" applyBorder="1" applyFont="1" applyNumberFormat="1">
      <alignment horizontal="center" shrinkToFit="0" vertical="center" wrapText="1"/>
    </xf>
    <xf borderId="4" fillId="4" fontId="4" numFmtId="164" xfId="0" applyAlignment="1" applyBorder="1" applyFill="1" applyFont="1" applyNumberFormat="1">
      <alignment horizontal="center" shrinkToFit="0" vertical="center" wrapText="1"/>
    </xf>
    <xf borderId="4" fillId="3" fontId="4" numFmtId="164" xfId="0" applyAlignment="1" applyBorder="1" applyFont="1" applyNumberFormat="1">
      <alignment horizontal="center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1"/>
    </xf>
    <xf quotePrefix="1" borderId="7" fillId="3" fontId="6" numFmtId="0" xfId="0" applyAlignment="1" applyBorder="1" applyFont="1">
      <alignment horizontal="center" shrinkToFit="0" vertical="center" wrapText="1"/>
    </xf>
    <xf quotePrefix="1" borderId="7" fillId="4" fontId="6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vertical="center"/>
    </xf>
    <xf borderId="10" fillId="0" fontId="4" numFmtId="0" xfId="0" applyBorder="1" applyFont="1"/>
    <xf borderId="11" fillId="0" fontId="4" numFmtId="0" xfId="0" applyBorder="1" applyFont="1"/>
    <xf borderId="9" fillId="0" fontId="4" numFmtId="0" xfId="0" applyBorder="1" applyFont="1"/>
    <xf borderId="0" fillId="0" fontId="4" numFmtId="0" xfId="0" applyFont="1"/>
    <xf borderId="0" fillId="0" fontId="4" numFmtId="164" xfId="0" applyFont="1" applyNumberFormat="1"/>
    <xf borderId="11" fillId="0" fontId="4" numFmtId="164" xfId="0" applyBorder="1" applyFont="1" applyNumberFormat="1"/>
    <xf borderId="9" fillId="0" fontId="4" numFmtId="164" xfId="0" applyBorder="1" applyFont="1" applyNumberFormat="1"/>
    <xf borderId="0" fillId="0" fontId="1" numFmtId="0" xfId="0" applyAlignment="1" applyFont="1">
      <alignment horizontal="left"/>
    </xf>
    <xf borderId="9" fillId="0" fontId="2" numFmtId="164" xfId="0" applyAlignment="1" applyBorder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11" fillId="0" fontId="2" numFmtId="164" xfId="0" applyAlignment="1" applyBorder="1" applyFont="1" applyNumberFormat="1">
      <alignment horizontal="center" shrinkToFit="0" vertical="center" wrapText="1"/>
    </xf>
    <xf borderId="9" fillId="0" fontId="2" numFmtId="0" xfId="0" applyAlignment="1" applyBorder="1" applyFont="1">
      <alignment horizontal="left"/>
    </xf>
    <xf borderId="11" fillId="0" fontId="2" numFmtId="164" xfId="0" applyBorder="1" applyFont="1" applyNumberFormat="1"/>
    <xf borderId="9" fillId="0" fontId="2" numFmtId="164" xfId="0" applyBorder="1" applyFont="1" applyNumberFormat="1"/>
    <xf borderId="12" fillId="0" fontId="2" numFmtId="0" xfId="0" applyBorder="1" applyFont="1"/>
    <xf borderId="13" fillId="0" fontId="2" numFmtId="164" xfId="0" applyBorder="1" applyFont="1" applyNumberFormat="1"/>
    <xf borderId="14" fillId="0" fontId="2" numFmtId="164" xfId="0" applyBorder="1" applyFont="1" applyNumberFormat="1"/>
    <xf borderId="12" fillId="0" fontId="2" numFmtId="164" xfId="0" applyBorder="1" applyFont="1" applyNumberFormat="1"/>
    <xf borderId="0" fillId="0" fontId="2" numFmtId="166" xfId="0" applyFont="1" applyNumberFormat="1"/>
    <xf borderId="0" fillId="0" fontId="2" numFmtId="0" xfId="0" applyAlignment="1" applyFont="1">
      <alignment horizontal="left"/>
    </xf>
    <xf borderId="3" fillId="5" fontId="4" numFmtId="0" xfId="0" applyAlignment="1" applyBorder="1" applyFill="1" applyFont="1">
      <alignment horizontal="center" shrinkToFit="0" vertical="center" wrapText="1"/>
    </xf>
    <xf borderId="7" fillId="5" fontId="4" numFmtId="164" xfId="0" applyAlignment="1" applyBorder="1" applyFont="1" applyNumberFormat="1">
      <alignment horizontal="center" shrinkToFit="0" vertical="center" wrapText="1"/>
    </xf>
    <xf borderId="15" fillId="0" fontId="5" numFmtId="0" xfId="0" applyBorder="1" applyFont="1"/>
    <xf quotePrefix="1" borderId="16" fillId="2" fontId="6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vertical="center"/>
    </xf>
    <xf borderId="18" fillId="0" fontId="4" numFmtId="0" xfId="0" applyBorder="1" applyFont="1"/>
    <xf borderId="9" fillId="0" fontId="1" numFmtId="164" xfId="0" applyBorder="1" applyFont="1" applyNumberFormat="1"/>
    <xf borderId="11" fillId="0" fontId="1" numFmtId="164" xfId="0" applyBorder="1" applyFont="1" applyNumberForma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3" fillId="2" fontId="1" numFmtId="0" xfId="0" applyAlignment="1" applyBorder="1" applyFont="1">
      <alignment horizontal="center" shrinkToFit="0" vertical="center" wrapText="1"/>
    </xf>
    <xf borderId="19" fillId="2" fontId="1" numFmtId="0" xfId="0" applyAlignment="1" applyBorder="1" applyFont="1">
      <alignment horizontal="center" shrinkToFit="0" vertical="center" wrapText="1"/>
    </xf>
    <xf borderId="0" fillId="0" fontId="6" numFmtId="0" xfId="0" applyFont="1"/>
    <xf borderId="20" fillId="2" fontId="1" numFmtId="0" xfId="0" applyAlignment="1" applyBorder="1" applyFont="1">
      <alignment horizontal="center" shrinkToFit="0" vertical="center" wrapText="1"/>
    </xf>
    <xf borderId="10" fillId="0" fontId="4" numFmtId="164" xfId="0" applyBorder="1" applyFont="1" applyNumberFormat="1"/>
    <xf borderId="18" fillId="0" fontId="4" numFmtId="164" xfId="0" applyBorder="1" applyFont="1" applyNumberFormat="1"/>
    <xf borderId="21" fillId="6" fontId="1" numFmtId="0" xfId="0" applyBorder="1" applyFill="1" applyFont="1"/>
    <xf borderId="22" fillId="6" fontId="1" numFmtId="164" xfId="0" applyBorder="1" applyFont="1" applyNumberFormat="1"/>
    <xf borderId="23" fillId="6" fontId="1" numFmtId="164" xfId="0" applyBorder="1" applyFont="1" applyNumberFormat="1"/>
    <xf borderId="0" fillId="0" fontId="1" numFmtId="167" xfId="0" applyFont="1" applyNumberFormat="1"/>
    <xf borderId="11" fillId="0" fontId="1" numFmtId="165" xfId="0" applyBorder="1" applyFont="1" applyNumberFormat="1"/>
    <xf borderId="21" fillId="7" fontId="1" numFmtId="0" xfId="0" applyBorder="1" applyFill="1" applyFont="1"/>
    <xf borderId="22" fillId="7" fontId="1" numFmtId="164" xfId="0" applyBorder="1" applyFont="1" applyNumberFormat="1"/>
    <xf borderId="23" fillId="7" fontId="1" numFmtId="164" xfId="0" applyBorder="1" applyFont="1" applyNumberFormat="1"/>
    <xf borderId="0" fillId="0" fontId="2" numFmtId="164" xfId="0" applyAlignment="1" applyFont="1" applyNumberFormat="1">
      <alignment horizontal="right"/>
    </xf>
    <xf borderId="11" fillId="0" fontId="2" numFmtId="164" xfId="0" applyAlignment="1" applyBorder="1" applyFont="1" applyNumberFormat="1">
      <alignment horizontal="right"/>
    </xf>
    <xf borderId="12" fillId="0" fontId="2" numFmtId="0" xfId="0" applyAlignment="1" applyBorder="1" applyFont="1">
      <alignment horizontal="left"/>
    </xf>
    <xf borderId="3" fillId="8" fontId="4" numFmtId="0" xfId="0" applyAlignment="1" applyBorder="1" applyFill="1" applyFont="1">
      <alignment horizontal="center" shrinkToFit="0" vertical="center" wrapText="1"/>
    </xf>
    <xf borderId="3" fillId="8" fontId="1" numFmtId="0" xfId="0" applyAlignment="1" applyBorder="1" applyFont="1">
      <alignment horizontal="center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7" fillId="8" fontId="1" numFmtId="0" xfId="0" applyAlignment="1" applyBorder="1" applyFont="1">
      <alignment horizontal="center" shrinkToFit="0" vertical="center" wrapText="1"/>
    </xf>
    <xf quotePrefix="1" borderId="7" fillId="8" fontId="6" numFmtId="0" xfId="0" applyAlignment="1" applyBorder="1" applyFont="1">
      <alignment horizontal="center" shrinkToFit="0" vertical="center" wrapText="1"/>
    </xf>
    <xf borderId="10" fillId="0" fontId="6" numFmtId="164" xfId="0" applyBorder="1" applyFont="1" applyNumberFormat="1"/>
    <xf borderId="11" fillId="0" fontId="6" numFmtId="164" xfId="0" applyBorder="1" applyFont="1" applyNumberFormat="1"/>
    <xf borderId="9" fillId="0" fontId="6" numFmtId="0" xfId="0" applyBorder="1" applyFont="1"/>
    <xf borderId="9" fillId="0" fontId="6" numFmtId="0" xfId="0" applyAlignment="1" applyBorder="1" applyFont="1">
      <alignment horizontal="left"/>
    </xf>
    <xf borderId="12" fillId="0" fontId="6" numFmtId="0" xfId="0" applyAlignment="1" applyBorder="1" applyFont="1">
      <alignment horizontal="left"/>
    </xf>
    <xf borderId="13" fillId="0" fontId="6" numFmtId="164" xfId="0" applyBorder="1" applyFont="1" applyNumberFormat="1"/>
    <xf borderId="14" fillId="0" fontId="6" numFmtId="164" xfId="0" applyBorder="1" applyFont="1" applyNumberFormat="1"/>
    <xf borderId="3" fillId="4" fontId="4" numFmtId="164" xfId="0" applyAlignment="1" applyBorder="1" applyFont="1" applyNumberFormat="1">
      <alignment horizontal="center" shrinkToFit="0" vertical="center" wrapText="1"/>
    </xf>
    <xf borderId="7" fillId="3" fontId="4" numFmtId="164" xfId="0" applyAlignment="1" applyBorder="1" applyFont="1" applyNumberFormat="1">
      <alignment horizontal="center" vertical="center"/>
    </xf>
    <xf borderId="7" fillId="4" fontId="4" numFmtId="164" xfId="0" applyAlignment="1" applyBorder="1" applyFont="1" applyNumberFormat="1">
      <alignment horizontal="center" vertical="center"/>
    </xf>
    <xf borderId="10" fillId="0" fontId="1" numFmtId="164" xfId="0" applyBorder="1" applyFont="1" applyNumberFormat="1"/>
    <xf borderId="11" fillId="0" fontId="1" numFmtId="0" xfId="0" applyBorder="1" applyFont="1"/>
    <xf borderId="21" fillId="6" fontId="1" numFmtId="164" xfId="0" applyBorder="1" applyFont="1" applyNumberFormat="1"/>
    <xf borderId="0" fillId="0" fontId="2" numFmtId="168" xfId="0" applyFont="1" applyNumberFormat="1"/>
    <xf borderId="11" fillId="0" fontId="2" numFmtId="0" xfId="0" applyBorder="1" applyFont="1"/>
    <xf borderId="21" fillId="7" fontId="1" numFmtId="164" xfId="0" applyBorder="1" applyFont="1" applyNumberFormat="1"/>
    <xf borderId="24" fillId="0" fontId="2" numFmtId="0" xfId="0" applyBorder="1" applyFont="1"/>
    <xf borderId="25" fillId="0" fontId="2" numFmtId="0" xfId="0" applyBorder="1" applyFont="1"/>
    <xf borderId="0" fillId="0" fontId="2" numFmtId="169" xfId="0" applyFont="1" applyNumberFormat="1"/>
    <xf borderId="11" fillId="0" fontId="2" numFmtId="166" xfId="0" applyBorder="1" applyFont="1" applyNumberFormat="1"/>
    <xf borderId="9" fillId="0" fontId="2" numFmtId="166" xfId="0" applyBorder="1" applyFont="1" applyNumberFormat="1"/>
    <xf borderId="9" fillId="0" fontId="2" numFmtId="164" xfId="0" applyAlignment="1" applyBorder="1" applyFont="1" applyNumberFormat="1">
      <alignment horizontal="left"/>
    </xf>
    <xf borderId="9" fillId="0" fontId="2" numFmtId="166" xfId="0" applyAlignment="1" applyBorder="1" applyFont="1" applyNumberFormat="1">
      <alignment horizontal="left"/>
    </xf>
    <xf borderId="0" fillId="0" fontId="1" numFmtId="166" xfId="0" applyFont="1" applyNumberFormat="1"/>
    <xf borderId="4" fillId="3" fontId="1" numFmtId="0" xfId="0" applyAlignment="1" applyBorder="1" applyFont="1">
      <alignment horizontal="center"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3" fillId="3" fontId="6" numFmtId="0" xfId="0" applyAlignment="1" applyBorder="1" applyFont="1">
      <alignment horizontal="center" shrinkToFit="0" vertical="center" wrapText="1"/>
    </xf>
    <xf borderId="4" fillId="3" fontId="6" numFmtId="164" xfId="0" applyAlignment="1" applyBorder="1" applyFont="1" applyNumberForma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4" fillId="4" fontId="6" numFmtId="164" xfId="0" applyAlignment="1" applyBorder="1" applyFont="1" applyNumberFormat="1">
      <alignment horizontal="center" shrinkToFit="0" vertical="center" wrapText="1"/>
    </xf>
    <xf borderId="3" fillId="3" fontId="6" numFmtId="164" xfId="0" applyAlignment="1" applyBorder="1" applyFont="1" applyNumberFormat="1">
      <alignment horizontal="center" shrinkToFit="0" vertical="center" wrapText="1"/>
    </xf>
    <xf borderId="3" fillId="4" fontId="6" numFmtId="164" xfId="0" applyAlignment="1" applyBorder="1" applyFont="1" applyNumberFormat="1">
      <alignment horizontal="center" shrinkToFit="0" vertical="center" wrapText="1"/>
    </xf>
    <xf borderId="7" fillId="3" fontId="6" numFmtId="164" xfId="0" applyAlignment="1" applyBorder="1" applyFont="1" applyNumberFormat="1">
      <alignment horizontal="center" vertical="center"/>
    </xf>
    <xf borderId="7" fillId="4" fontId="6" numFmtId="164" xfId="0" applyAlignment="1" applyBorder="1" applyFont="1" applyNumberFormat="1">
      <alignment horizontal="center" vertical="center"/>
    </xf>
    <xf borderId="0" fillId="0" fontId="1" numFmtId="170" xfId="0" applyFont="1" applyNumberFormat="1"/>
    <xf borderId="11" fillId="0" fontId="1" numFmtId="164" xfId="0" applyAlignment="1" applyBorder="1" applyFont="1" applyNumberFormat="1">
      <alignment vertical="center"/>
    </xf>
    <xf borderId="17" fillId="0" fontId="1" numFmtId="164" xfId="0" applyAlignment="1" applyBorder="1" applyFont="1" applyNumberFormat="1">
      <alignment vertical="center"/>
    </xf>
    <xf borderId="10" fillId="0" fontId="1" numFmtId="0" xfId="0" applyBorder="1" applyFont="1"/>
    <xf borderId="18" fillId="0" fontId="1" numFmtId="0" xfId="0" applyBorder="1" applyFont="1"/>
    <xf borderId="0" fillId="0" fontId="2" numFmtId="0" xfId="0" applyAlignment="1" applyFont="1">
      <alignment horizontal="left" vertical="center"/>
    </xf>
    <xf borderId="3" fillId="0" fontId="4" numFmtId="0" xfId="0" applyAlignment="1" applyBorder="1" applyFont="1">
      <alignment horizontal="center" shrinkToFit="0" vertical="center" wrapText="1"/>
    </xf>
    <xf borderId="26" fillId="0" fontId="5" numFmtId="0" xfId="0" applyBorder="1" applyFont="1"/>
    <xf borderId="4" fillId="4" fontId="1" numFmtId="164" xfId="0" applyAlignment="1" applyBorder="1" applyFont="1" applyNumberFormat="1">
      <alignment horizontal="center" shrinkToFit="0" vertical="center" wrapText="1"/>
    </xf>
    <xf borderId="3" fillId="4" fontId="1" numFmtId="164" xfId="0" applyAlignment="1" applyBorder="1" applyFont="1" applyNumberFormat="1">
      <alignment horizontal="center" shrinkToFit="0" vertical="center" wrapText="1"/>
    </xf>
    <xf borderId="7" fillId="4" fontId="1" numFmtId="164" xfId="0" applyAlignment="1" applyBorder="1" applyFont="1" applyNumberForma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0" fillId="0" fontId="1" numFmtId="164" xfId="0" applyAlignment="1" applyBorder="1" applyFont="1" applyNumberFormat="1">
      <alignment horizontal="center" shrinkToFit="0" vertical="center" wrapText="1"/>
    </xf>
    <xf borderId="18" fillId="0" fontId="1" numFmtId="164" xfId="0" applyAlignment="1" applyBorder="1" applyFont="1" applyNumberFormat="1">
      <alignment horizontal="center" shrinkToFit="0" vertical="center" wrapText="1"/>
    </xf>
    <xf borderId="9" fillId="0" fontId="4" numFmtId="0" xfId="0" applyAlignment="1" applyBorder="1" applyFont="1">
      <alignment horizontal="left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11" fillId="0" fontId="1" numFmtId="164" xfId="0" applyAlignment="1" applyBorder="1" applyFont="1" applyNumberFormat="1">
      <alignment horizontal="center" shrinkToFit="0" vertical="center" wrapText="1"/>
    </xf>
    <xf borderId="9" fillId="0" fontId="2" numFmtId="0" xfId="0" applyAlignment="1" applyBorder="1" applyFon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1" numFmtId="171" xfId="0" applyFont="1" applyNumberFormat="1"/>
    <xf borderId="11" fillId="0" fontId="1" numFmtId="171" xfId="0" applyBorder="1" applyFont="1" applyNumberFormat="1"/>
    <xf borderId="0" fillId="0" fontId="2" numFmtId="171" xfId="0" applyFont="1" applyNumberFormat="1"/>
    <xf borderId="11" fillId="0" fontId="2" numFmtId="171" xfId="0" applyBorder="1" applyFont="1" applyNumberFormat="1"/>
    <xf borderId="13" fillId="0" fontId="2" numFmtId="164" xfId="0" applyAlignment="1" applyBorder="1" applyFont="1" applyNumberFormat="1">
      <alignment horizontal="left"/>
    </xf>
    <xf borderId="13" fillId="0" fontId="2" numFmtId="166" xfId="0" applyBorder="1" applyFont="1" applyNumberFormat="1"/>
    <xf borderId="13" fillId="0" fontId="2" numFmtId="171" xfId="0" applyBorder="1" applyFont="1" applyNumberFormat="1"/>
    <xf borderId="14" fillId="0" fontId="2" numFmtId="17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6.86"/>
    <col customWidth="1" min="2" max="6" width="9.14"/>
    <col customWidth="1" min="7" max="26" width="8.71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4.5" customHeight="1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4.5" customHeight="1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4.5" customHeight="1">
      <c r="A6" s="3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4.5" customHeight="1">
      <c r="A7" s="3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4.5" customHeight="1">
      <c r="A8" s="3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4.5" customHeight="1">
      <c r="A9" s="3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4.5" customHeight="1">
      <c r="A10" s="3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4.5" customHeight="1">
      <c r="A11" s="3" t="s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6.43"/>
    <col customWidth="1" min="2" max="7" width="17.0"/>
    <col customWidth="1" min="8" max="10" width="9.14"/>
    <col customWidth="1" min="11" max="26" width="8.71"/>
  </cols>
  <sheetData>
    <row r="1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/>
      <c r="B2" s="5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3.0" customHeight="1">
      <c r="A3" s="6" t="s">
        <v>10</v>
      </c>
      <c r="B3" s="7" t="s">
        <v>11</v>
      </c>
      <c r="C3" s="8"/>
      <c r="D3" s="9"/>
      <c r="E3" s="7" t="s">
        <v>12</v>
      </c>
      <c r="F3" s="8"/>
      <c r="G3" s="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1">
        <v>2018.0</v>
      </c>
      <c r="C4" s="11">
        <v>2021.0</v>
      </c>
      <c r="D4" s="11" t="s">
        <v>13</v>
      </c>
      <c r="E4" s="11">
        <v>2018.0</v>
      </c>
      <c r="F4" s="11">
        <v>2021.0</v>
      </c>
      <c r="G4" s="11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/>
      <c r="B5" s="13" t="s">
        <v>14</v>
      </c>
      <c r="C5" s="13" t="s">
        <v>15</v>
      </c>
      <c r="D5" s="13" t="s">
        <v>16</v>
      </c>
      <c r="E5" s="13" t="s">
        <v>17</v>
      </c>
      <c r="F5" s="13" t="s">
        <v>18</v>
      </c>
      <c r="G5" s="13" t="s">
        <v>19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/>
      <c r="B6" s="15"/>
      <c r="C6" s="15"/>
      <c r="D6" s="2"/>
      <c r="E6" s="1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7" t="s">
        <v>20</v>
      </c>
      <c r="B7" s="18">
        <f>SUM(B9:B25)</f>
        <v>1003111</v>
      </c>
      <c r="C7" s="18">
        <v>1080638.0</v>
      </c>
      <c r="D7" s="19">
        <f>(C7-B7)/B7</f>
        <v>0.07728656151</v>
      </c>
      <c r="E7" s="18">
        <f>SUM(E9:E25)</f>
        <v>9043063</v>
      </c>
      <c r="F7" s="18">
        <v>8569049.0</v>
      </c>
      <c r="G7" s="19">
        <f>(F7-E7)/E7</f>
        <v>-0.05241741653</v>
      </c>
      <c r="H7" s="20"/>
      <c r="I7" s="20"/>
      <c r="J7" s="18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/>
      <c r="B8" s="22"/>
      <c r="C8" s="22"/>
      <c r="D8" s="23"/>
      <c r="E8" s="22"/>
      <c r="F8" s="22"/>
      <c r="G8" s="2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1" t="s">
        <v>21</v>
      </c>
      <c r="B9" s="22">
        <v>205250.0</v>
      </c>
      <c r="C9" s="22">
        <v>201080.0</v>
      </c>
      <c r="D9" s="23">
        <f t="shared" ref="D9:D25" si="1">(C9-B9)/B9</f>
        <v>-0.02031668697</v>
      </c>
      <c r="E9" s="22">
        <v>3117670.0</v>
      </c>
      <c r="F9" s="22">
        <v>2877175.0</v>
      </c>
      <c r="G9" s="23">
        <f t="shared" ref="G9:G25" si="2">(F9-E9)/E9</f>
        <v>-0.07713933803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1" t="s">
        <v>22</v>
      </c>
      <c r="B10" s="22">
        <v>20466.0</v>
      </c>
      <c r="C10" s="22">
        <v>22648.0</v>
      </c>
      <c r="D10" s="23">
        <f t="shared" si="1"/>
        <v>0.1066158507</v>
      </c>
      <c r="E10" s="22">
        <v>121471.0</v>
      </c>
      <c r="F10" s="22">
        <v>116214.0</v>
      </c>
      <c r="G10" s="23">
        <f t="shared" si="2"/>
        <v>-0.0432778194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1" t="s">
        <v>23</v>
      </c>
      <c r="B11" s="22">
        <v>50877.0</v>
      </c>
      <c r="C11" s="22">
        <v>58095.0</v>
      </c>
      <c r="D11" s="23">
        <f t="shared" si="1"/>
        <v>0.1418715726</v>
      </c>
      <c r="E11" s="22">
        <v>264496.0</v>
      </c>
      <c r="F11" s="22">
        <v>258401.0</v>
      </c>
      <c r="G11" s="23">
        <f t="shared" si="2"/>
        <v>-0.02304382675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1" t="s">
        <v>24</v>
      </c>
      <c r="B12" s="22">
        <v>30753.0</v>
      </c>
      <c r="C12" s="22">
        <v>33068.0</v>
      </c>
      <c r="D12" s="23">
        <f t="shared" si="1"/>
        <v>0.07527720873</v>
      </c>
      <c r="E12" s="22">
        <v>149921.0</v>
      </c>
      <c r="F12" s="22">
        <v>151022.0</v>
      </c>
      <c r="G12" s="23">
        <f t="shared" si="2"/>
        <v>0.00734386777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1" t="s">
        <v>25</v>
      </c>
      <c r="B13" s="22">
        <v>116458.0</v>
      </c>
      <c r="C13" s="22">
        <v>137528.0</v>
      </c>
      <c r="D13" s="23">
        <f t="shared" si="1"/>
        <v>0.1809235948</v>
      </c>
      <c r="E13" s="22">
        <v>872487.0</v>
      </c>
      <c r="F13" s="22">
        <v>841865.0</v>
      </c>
      <c r="G13" s="23">
        <f t="shared" si="2"/>
        <v>-0.03509737108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1" t="s">
        <v>26</v>
      </c>
      <c r="B14" s="22">
        <v>149007.0</v>
      </c>
      <c r="C14" s="22">
        <v>160056.0</v>
      </c>
      <c r="D14" s="23">
        <f t="shared" si="1"/>
        <v>0.07415087882</v>
      </c>
      <c r="E14" s="22">
        <v>1432352.0</v>
      </c>
      <c r="F14" s="22">
        <v>1295448.0</v>
      </c>
      <c r="G14" s="23">
        <f t="shared" si="2"/>
        <v>-0.09557985747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1" t="s">
        <v>27</v>
      </c>
      <c r="B15" s="22">
        <v>23952.0</v>
      </c>
      <c r="C15" s="22">
        <v>23285.0</v>
      </c>
      <c r="D15" s="23">
        <f t="shared" si="1"/>
        <v>-0.02784736139</v>
      </c>
      <c r="E15" s="22">
        <v>120616.0</v>
      </c>
      <c r="F15" s="22">
        <v>109334.0</v>
      </c>
      <c r="G15" s="23">
        <f t="shared" si="2"/>
        <v>-0.09353651257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1" t="s">
        <v>28</v>
      </c>
      <c r="B16" s="22">
        <v>40514.0</v>
      </c>
      <c r="C16" s="22">
        <v>45223.0</v>
      </c>
      <c r="D16" s="23">
        <f t="shared" si="1"/>
        <v>0.1162314262</v>
      </c>
      <c r="E16" s="22">
        <v>217846.0</v>
      </c>
      <c r="F16" s="22">
        <v>225550.0</v>
      </c>
      <c r="G16" s="23">
        <f t="shared" si="2"/>
        <v>0.03536443175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1" t="s">
        <v>29</v>
      </c>
      <c r="B17" s="22">
        <v>61783.0</v>
      </c>
      <c r="C17" s="22">
        <v>73692.0</v>
      </c>
      <c r="D17" s="23">
        <f t="shared" si="1"/>
        <v>0.1927552887</v>
      </c>
      <c r="E17" s="22">
        <v>409829.0</v>
      </c>
      <c r="F17" s="22">
        <v>457278.0</v>
      </c>
      <c r="G17" s="23">
        <f t="shared" si="2"/>
        <v>0.115777556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1" t="s">
        <v>30</v>
      </c>
      <c r="B18" s="22">
        <v>70932.0</v>
      </c>
      <c r="C18" s="22">
        <v>78419.0</v>
      </c>
      <c r="D18" s="23">
        <f t="shared" si="1"/>
        <v>0.1055517961</v>
      </c>
      <c r="E18" s="22">
        <v>834819.0</v>
      </c>
      <c r="F18" s="22">
        <v>773933.0</v>
      </c>
      <c r="G18" s="23">
        <f t="shared" si="2"/>
        <v>-0.07293317474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1" t="s">
        <v>31</v>
      </c>
      <c r="B19" s="22">
        <v>30789.0</v>
      </c>
      <c r="C19" s="22">
        <v>35316.0</v>
      </c>
      <c r="D19" s="23">
        <f t="shared" si="1"/>
        <v>0.1470330313</v>
      </c>
      <c r="E19" s="22">
        <v>155244.0</v>
      </c>
      <c r="F19" s="22">
        <v>166515.0</v>
      </c>
      <c r="G19" s="23">
        <f t="shared" si="2"/>
        <v>0.07260183968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1" t="s">
        <v>32</v>
      </c>
      <c r="B20" s="22">
        <v>33244.0</v>
      </c>
      <c r="C20" s="22">
        <v>33691.0</v>
      </c>
      <c r="D20" s="23">
        <f t="shared" si="1"/>
        <v>0.01344603537</v>
      </c>
      <c r="E20" s="22">
        <v>170840.0</v>
      </c>
      <c r="F20" s="22">
        <v>164883.0</v>
      </c>
      <c r="G20" s="23">
        <f t="shared" si="2"/>
        <v>-0.03486888317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1" t="s">
        <v>33</v>
      </c>
      <c r="B21" s="22">
        <v>37412.0</v>
      </c>
      <c r="C21" s="22">
        <v>38910.0</v>
      </c>
      <c r="D21" s="23">
        <f t="shared" si="1"/>
        <v>0.04004062868</v>
      </c>
      <c r="E21" s="22">
        <v>291813.0</v>
      </c>
      <c r="F21" s="22">
        <v>269488.0</v>
      </c>
      <c r="G21" s="23">
        <f t="shared" si="2"/>
        <v>-0.07650447376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1" t="s">
        <v>34</v>
      </c>
      <c r="B22" s="22">
        <v>58685.0</v>
      </c>
      <c r="C22" s="22">
        <v>60716.0</v>
      </c>
      <c r="D22" s="23">
        <f t="shared" si="1"/>
        <v>0.03460850302</v>
      </c>
      <c r="E22" s="22">
        <v>446637.0</v>
      </c>
      <c r="F22" s="22">
        <v>430497.0</v>
      </c>
      <c r="G22" s="23">
        <f t="shared" si="2"/>
        <v>-0.03613672848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1" t="s">
        <v>35</v>
      </c>
      <c r="B23" s="22">
        <v>44940.0</v>
      </c>
      <c r="C23" s="22">
        <v>46474.0</v>
      </c>
      <c r="D23" s="23">
        <f t="shared" si="1"/>
        <v>0.03413440142</v>
      </c>
      <c r="E23" s="22">
        <v>275400.0</v>
      </c>
      <c r="F23" s="22">
        <v>261690.0</v>
      </c>
      <c r="G23" s="23">
        <f t="shared" si="2"/>
        <v>-0.04978213508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1" t="s">
        <v>36</v>
      </c>
      <c r="B24" s="22">
        <v>19873.0</v>
      </c>
      <c r="C24" s="22">
        <v>22422.0</v>
      </c>
      <c r="D24" s="23">
        <f t="shared" si="1"/>
        <v>0.1282644794</v>
      </c>
      <c r="E24" s="22">
        <v>125026.0</v>
      </c>
      <c r="F24" s="22">
        <v>125329.0</v>
      </c>
      <c r="G24" s="23">
        <f t="shared" si="2"/>
        <v>0.002423495913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4" t="s">
        <v>37</v>
      </c>
      <c r="B25" s="22">
        <v>8176.0</v>
      </c>
      <c r="C25" s="22">
        <v>10015.0</v>
      </c>
      <c r="D25" s="23">
        <f t="shared" si="1"/>
        <v>0.2249266145</v>
      </c>
      <c r="E25" s="22">
        <v>36596.0</v>
      </c>
      <c r="F25" s="22">
        <v>44427.0</v>
      </c>
      <c r="G25" s="23">
        <f t="shared" si="2"/>
        <v>0.213985135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3:A5"/>
    <mergeCell ref="B3:D3"/>
    <mergeCell ref="E3:G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1.71"/>
    <col customWidth="1" min="2" max="2" width="16.57"/>
    <col customWidth="1" min="3" max="3" width="18.0"/>
    <col customWidth="1" min="4" max="23" width="11.71"/>
    <col customWidth="1" min="24" max="24" width="13.14"/>
    <col customWidth="1" min="25" max="27" width="11.71"/>
    <col customWidth="1" min="28" max="28" width="14.57"/>
    <col customWidth="1" min="29" max="34" width="11.71"/>
    <col customWidth="1" min="35" max="35" width="13.71"/>
    <col customWidth="1" min="36" max="39" width="11.71"/>
    <col customWidth="1" min="40" max="42" width="9.14"/>
  </cols>
  <sheetData>
    <row r="1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ht="30.0" customHeight="1">
      <c r="A3" s="25" t="s">
        <v>10</v>
      </c>
      <c r="B3" s="26" t="s">
        <v>39</v>
      </c>
      <c r="C3" s="26" t="s">
        <v>40</v>
      </c>
      <c r="D3" s="27" t="s">
        <v>41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  <c r="V3" s="28" t="s">
        <v>42</v>
      </c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9"/>
      <c r="AN3" s="22"/>
      <c r="AO3" s="22"/>
      <c r="AP3" s="22"/>
    </row>
    <row r="4" ht="122.25" customHeight="1">
      <c r="A4" s="10"/>
      <c r="B4" s="12"/>
      <c r="C4" s="12"/>
      <c r="D4" s="29" t="s">
        <v>43</v>
      </c>
      <c r="E4" s="29" t="s">
        <v>44</v>
      </c>
      <c r="F4" s="29" t="s">
        <v>45</v>
      </c>
      <c r="G4" s="29" t="s">
        <v>46</v>
      </c>
      <c r="H4" s="29" t="s">
        <v>47</v>
      </c>
      <c r="I4" s="29" t="s">
        <v>48</v>
      </c>
      <c r="J4" s="29" t="s">
        <v>49</v>
      </c>
      <c r="K4" s="29" t="s">
        <v>50</v>
      </c>
      <c r="L4" s="29" t="s">
        <v>51</v>
      </c>
      <c r="M4" s="29" t="s">
        <v>52</v>
      </c>
      <c r="N4" s="29" t="s">
        <v>53</v>
      </c>
      <c r="O4" s="29" t="s">
        <v>54</v>
      </c>
      <c r="P4" s="29" t="s">
        <v>55</v>
      </c>
      <c r="Q4" s="29" t="s">
        <v>56</v>
      </c>
      <c r="R4" s="29" t="s">
        <v>57</v>
      </c>
      <c r="S4" s="29" t="s">
        <v>58</v>
      </c>
      <c r="T4" s="29" t="s">
        <v>59</v>
      </c>
      <c r="U4" s="29" t="s">
        <v>60</v>
      </c>
      <c r="V4" s="30" t="s">
        <v>43</v>
      </c>
      <c r="W4" s="30" t="s">
        <v>44</v>
      </c>
      <c r="X4" s="30" t="s">
        <v>45</v>
      </c>
      <c r="Y4" s="30" t="s">
        <v>46</v>
      </c>
      <c r="Z4" s="30" t="s">
        <v>47</v>
      </c>
      <c r="AA4" s="30" t="s">
        <v>48</v>
      </c>
      <c r="AB4" s="30" t="s">
        <v>49</v>
      </c>
      <c r="AC4" s="30" t="s">
        <v>61</v>
      </c>
      <c r="AD4" s="30" t="s">
        <v>62</v>
      </c>
      <c r="AE4" s="30" t="s">
        <v>52</v>
      </c>
      <c r="AF4" s="30" t="s">
        <v>53</v>
      </c>
      <c r="AG4" s="30" t="s">
        <v>54</v>
      </c>
      <c r="AH4" s="30" t="s">
        <v>55</v>
      </c>
      <c r="AI4" s="30" t="s">
        <v>63</v>
      </c>
      <c r="AJ4" s="30" t="s">
        <v>57</v>
      </c>
      <c r="AK4" s="30" t="s">
        <v>58</v>
      </c>
      <c r="AL4" s="30" t="s">
        <v>59</v>
      </c>
      <c r="AM4" s="30" t="s">
        <v>60</v>
      </c>
      <c r="AN4" s="22"/>
      <c r="AO4" s="22"/>
      <c r="AP4" s="22"/>
    </row>
    <row r="5" ht="12.75" customHeight="1">
      <c r="A5" s="12"/>
      <c r="B5" s="31" t="s">
        <v>14</v>
      </c>
      <c r="C5" s="31" t="s">
        <v>15</v>
      </c>
      <c r="D5" s="32" t="s">
        <v>16</v>
      </c>
      <c r="E5" s="32" t="s">
        <v>17</v>
      </c>
      <c r="F5" s="32" t="s">
        <v>18</v>
      </c>
      <c r="G5" s="32" t="s">
        <v>19</v>
      </c>
      <c r="H5" s="32" t="s">
        <v>64</v>
      </c>
      <c r="I5" s="32" t="s">
        <v>65</v>
      </c>
      <c r="J5" s="32" t="s">
        <v>66</v>
      </c>
      <c r="K5" s="32" t="s">
        <v>67</v>
      </c>
      <c r="L5" s="32" t="s">
        <v>68</v>
      </c>
      <c r="M5" s="32" t="s">
        <v>69</v>
      </c>
      <c r="N5" s="32" t="s">
        <v>70</v>
      </c>
      <c r="O5" s="32" t="s">
        <v>71</v>
      </c>
      <c r="P5" s="32" t="s">
        <v>72</v>
      </c>
      <c r="Q5" s="32" t="s">
        <v>73</v>
      </c>
      <c r="R5" s="32" t="s">
        <v>74</v>
      </c>
      <c r="S5" s="32" t="s">
        <v>75</v>
      </c>
      <c r="T5" s="32" t="s">
        <v>76</v>
      </c>
      <c r="U5" s="32" t="s">
        <v>77</v>
      </c>
      <c r="V5" s="32" t="s">
        <v>78</v>
      </c>
      <c r="W5" s="32" t="s">
        <v>79</v>
      </c>
      <c r="X5" s="32" t="s">
        <v>80</v>
      </c>
      <c r="Y5" s="32" t="s">
        <v>81</v>
      </c>
      <c r="Z5" s="32" t="s">
        <v>82</v>
      </c>
      <c r="AA5" s="32" t="s">
        <v>83</v>
      </c>
      <c r="AB5" s="32" t="s">
        <v>84</v>
      </c>
      <c r="AC5" s="32" t="s">
        <v>85</v>
      </c>
      <c r="AD5" s="32" t="s">
        <v>86</v>
      </c>
      <c r="AE5" s="32" t="s">
        <v>87</v>
      </c>
      <c r="AF5" s="32" t="s">
        <v>88</v>
      </c>
      <c r="AG5" s="32" t="s">
        <v>89</v>
      </c>
      <c r="AH5" s="32" t="s">
        <v>90</v>
      </c>
      <c r="AI5" s="32" t="s">
        <v>91</v>
      </c>
      <c r="AJ5" s="32" t="s">
        <v>92</v>
      </c>
      <c r="AK5" s="32" t="s">
        <v>93</v>
      </c>
      <c r="AL5" s="32" t="s">
        <v>94</v>
      </c>
      <c r="AM5" s="32" t="s">
        <v>95</v>
      </c>
      <c r="AN5" s="2"/>
      <c r="AO5" s="2"/>
      <c r="AP5" s="2"/>
    </row>
    <row r="6">
      <c r="A6" s="33"/>
      <c r="B6" s="34"/>
      <c r="C6" s="35"/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5"/>
      <c r="V6" s="36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5"/>
      <c r="AN6" s="38"/>
      <c r="AO6" s="38"/>
      <c r="AP6" s="38"/>
    </row>
    <row r="7">
      <c r="A7" s="33" t="s">
        <v>20</v>
      </c>
      <c r="B7" s="38">
        <v>1080638.0</v>
      </c>
      <c r="C7" s="39">
        <v>8569049.0</v>
      </c>
      <c r="D7" s="40">
        <v>8605.0</v>
      </c>
      <c r="E7" s="38">
        <v>959.0</v>
      </c>
      <c r="F7" s="38">
        <v>129436.0</v>
      </c>
      <c r="G7" s="38">
        <v>1384.0</v>
      </c>
      <c r="H7" s="38">
        <v>1564.0</v>
      </c>
      <c r="I7" s="38">
        <v>4482.0</v>
      </c>
      <c r="J7" s="38">
        <v>539741.0</v>
      </c>
      <c r="K7" s="38">
        <v>13874.0</v>
      </c>
      <c r="L7" s="38">
        <v>153378.0</v>
      </c>
      <c r="M7" s="38">
        <v>12888.0</v>
      </c>
      <c r="N7" s="38">
        <v>50494.0</v>
      </c>
      <c r="O7" s="38">
        <v>13862.0</v>
      </c>
      <c r="P7" s="38">
        <v>14966.0</v>
      </c>
      <c r="Q7" s="38">
        <v>14789.0</v>
      </c>
      <c r="R7" s="38">
        <v>12753.0</v>
      </c>
      <c r="S7" s="38">
        <v>27018.0</v>
      </c>
      <c r="T7" s="38">
        <v>11857.0</v>
      </c>
      <c r="U7" s="39">
        <v>68588.0</v>
      </c>
      <c r="V7" s="40">
        <v>190869.0</v>
      </c>
      <c r="W7" s="38">
        <v>39855.0</v>
      </c>
      <c r="X7" s="38">
        <v>1505501.0</v>
      </c>
      <c r="Y7" s="38">
        <v>67557.0</v>
      </c>
      <c r="Z7" s="38">
        <v>39905.0</v>
      </c>
      <c r="AA7" s="38">
        <v>266142.0</v>
      </c>
      <c r="AB7" s="38">
        <v>2385351.0</v>
      </c>
      <c r="AC7" s="38">
        <v>319048.0</v>
      </c>
      <c r="AD7" s="38">
        <v>718547.0</v>
      </c>
      <c r="AE7" s="38">
        <v>213060.0</v>
      </c>
      <c r="AF7" s="38">
        <v>532475.0</v>
      </c>
      <c r="AG7" s="38">
        <v>127911.0</v>
      </c>
      <c r="AH7" s="38">
        <v>170601.0</v>
      </c>
      <c r="AI7" s="38">
        <v>1131558.0</v>
      </c>
      <c r="AJ7" s="38">
        <v>314353.0</v>
      </c>
      <c r="AK7" s="38">
        <v>262493.0</v>
      </c>
      <c r="AL7" s="38">
        <v>78511.0</v>
      </c>
      <c r="AM7" s="39">
        <v>205312.0</v>
      </c>
      <c r="AN7" s="38"/>
      <c r="AO7" s="38"/>
      <c r="AP7" s="38"/>
    </row>
    <row r="8">
      <c r="A8" s="21"/>
      <c r="B8" s="41"/>
      <c r="C8" s="41"/>
      <c r="D8" s="42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4"/>
      <c r="V8" s="17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4"/>
      <c r="AN8" s="22"/>
      <c r="AO8" s="22"/>
      <c r="AP8" s="22"/>
    </row>
    <row r="9" ht="21.0" customHeight="1">
      <c r="A9" s="45" t="s">
        <v>21</v>
      </c>
      <c r="B9" s="22">
        <v>201080.0</v>
      </c>
      <c r="C9" s="46">
        <v>2877175.0</v>
      </c>
      <c r="D9" s="47">
        <v>86.0</v>
      </c>
      <c r="E9" s="22">
        <v>92.0</v>
      </c>
      <c r="F9" s="22">
        <v>18280.0</v>
      </c>
      <c r="G9" s="22">
        <v>130.0</v>
      </c>
      <c r="H9" s="22">
        <v>120.0</v>
      </c>
      <c r="I9" s="22">
        <v>1410.0</v>
      </c>
      <c r="J9" s="22">
        <v>92875.0</v>
      </c>
      <c r="K9" s="22">
        <v>4123.0</v>
      </c>
      <c r="L9" s="22">
        <v>30273.0</v>
      </c>
      <c r="M9" s="22">
        <v>2499.0</v>
      </c>
      <c r="N9" s="22">
        <v>9735.0</v>
      </c>
      <c r="O9" s="22">
        <v>4967.0</v>
      </c>
      <c r="P9" s="22">
        <v>4213.0</v>
      </c>
      <c r="Q9" s="22">
        <v>5073.0</v>
      </c>
      <c r="R9" s="22">
        <v>2264.0</v>
      </c>
      <c r="S9" s="22">
        <v>6680.0</v>
      </c>
      <c r="T9" s="22">
        <v>1607.0</v>
      </c>
      <c r="U9" s="46">
        <v>16653.0</v>
      </c>
      <c r="V9" s="47">
        <v>9521.0</v>
      </c>
      <c r="W9" s="22">
        <v>5046.0</v>
      </c>
      <c r="X9" s="22">
        <v>262770.0</v>
      </c>
      <c r="Y9" s="22">
        <v>8900.0</v>
      </c>
      <c r="Z9" s="22">
        <v>4288.0</v>
      </c>
      <c r="AA9" s="22">
        <v>140999.0</v>
      </c>
      <c r="AB9" s="22">
        <v>607206.0</v>
      </c>
      <c r="AC9" s="22">
        <v>155866.0</v>
      </c>
      <c r="AD9" s="22">
        <v>195030.0</v>
      </c>
      <c r="AE9" s="22">
        <v>156303.0</v>
      </c>
      <c r="AF9" s="22">
        <v>251738.0</v>
      </c>
      <c r="AG9" s="22">
        <v>64366.0</v>
      </c>
      <c r="AH9" s="22">
        <v>103820.0</v>
      </c>
      <c r="AI9" s="22">
        <v>674524.0</v>
      </c>
      <c r="AJ9" s="22">
        <v>71457.0</v>
      </c>
      <c r="AK9" s="22">
        <v>79713.0</v>
      </c>
      <c r="AL9" s="22">
        <v>26969.0</v>
      </c>
      <c r="AM9" s="46">
        <v>58659.0</v>
      </c>
      <c r="AN9" s="22"/>
      <c r="AO9" s="22"/>
      <c r="AP9" s="22"/>
    </row>
    <row r="10" ht="21.0" customHeight="1">
      <c r="A10" s="45" t="s">
        <v>22</v>
      </c>
      <c r="B10" s="22">
        <v>22648.0</v>
      </c>
      <c r="C10" s="46">
        <v>116214.0</v>
      </c>
      <c r="D10" s="47">
        <v>77.0</v>
      </c>
      <c r="E10" s="22">
        <v>15.0</v>
      </c>
      <c r="F10" s="22">
        <v>2262.0</v>
      </c>
      <c r="G10" s="22">
        <v>43.0</v>
      </c>
      <c r="H10" s="22">
        <v>25.0</v>
      </c>
      <c r="I10" s="22">
        <v>100.0</v>
      </c>
      <c r="J10" s="22">
        <v>11443.0</v>
      </c>
      <c r="K10" s="22">
        <v>158.0</v>
      </c>
      <c r="L10" s="22">
        <v>3629.0</v>
      </c>
      <c r="M10" s="22">
        <v>313.0</v>
      </c>
      <c r="N10" s="22">
        <v>861.0</v>
      </c>
      <c r="O10" s="22">
        <v>520.0</v>
      </c>
      <c r="P10" s="22">
        <v>397.0</v>
      </c>
      <c r="Q10" s="22">
        <v>209.0</v>
      </c>
      <c r="R10" s="22">
        <v>311.0</v>
      </c>
      <c r="S10" s="22">
        <v>740.0</v>
      </c>
      <c r="T10" s="22">
        <v>193.0</v>
      </c>
      <c r="U10" s="46">
        <v>1352.0</v>
      </c>
      <c r="V10" s="47">
        <v>595.0</v>
      </c>
      <c r="W10" s="22">
        <v>4268.0</v>
      </c>
      <c r="X10" s="22">
        <v>11020.0</v>
      </c>
      <c r="Y10" s="22">
        <v>1308.0</v>
      </c>
      <c r="Z10" s="22">
        <v>949.0</v>
      </c>
      <c r="AA10" s="22">
        <v>3130.0</v>
      </c>
      <c r="AB10" s="22">
        <v>32177.0</v>
      </c>
      <c r="AC10" s="22">
        <v>773.0</v>
      </c>
      <c r="AD10" s="22">
        <v>15687.0</v>
      </c>
      <c r="AE10" s="22">
        <v>1469.0</v>
      </c>
      <c r="AF10" s="22">
        <v>14973.0</v>
      </c>
      <c r="AG10" s="22">
        <v>2050.0</v>
      </c>
      <c r="AH10" s="22">
        <v>1492.0</v>
      </c>
      <c r="AI10" s="22">
        <v>10124.0</v>
      </c>
      <c r="AJ10" s="22">
        <v>8367.0</v>
      </c>
      <c r="AK10" s="22">
        <v>3758.0</v>
      </c>
      <c r="AL10" s="22">
        <v>706.0</v>
      </c>
      <c r="AM10" s="46">
        <v>3368.0</v>
      </c>
      <c r="AN10" s="2"/>
      <c r="AO10" s="2"/>
      <c r="AP10" s="2"/>
    </row>
    <row r="11" ht="21.0" customHeight="1">
      <c r="A11" s="45" t="s">
        <v>23</v>
      </c>
      <c r="B11" s="22">
        <v>58095.0</v>
      </c>
      <c r="C11" s="46">
        <v>258401.0</v>
      </c>
      <c r="D11" s="47">
        <v>549.0</v>
      </c>
      <c r="E11" s="22">
        <v>105.0</v>
      </c>
      <c r="F11" s="22">
        <v>8770.0</v>
      </c>
      <c r="G11" s="22">
        <v>92.0</v>
      </c>
      <c r="H11" s="22">
        <v>71.0</v>
      </c>
      <c r="I11" s="22">
        <v>137.0</v>
      </c>
      <c r="J11" s="22">
        <v>28617.0</v>
      </c>
      <c r="K11" s="22">
        <v>570.0</v>
      </c>
      <c r="L11" s="22">
        <v>7972.0</v>
      </c>
      <c r="M11" s="22">
        <v>561.0</v>
      </c>
      <c r="N11" s="22">
        <v>2733.0</v>
      </c>
      <c r="O11" s="22">
        <v>851.0</v>
      </c>
      <c r="P11" s="22">
        <v>721.0</v>
      </c>
      <c r="Q11" s="22">
        <v>479.0</v>
      </c>
      <c r="R11" s="22">
        <v>597.0</v>
      </c>
      <c r="S11" s="22">
        <v>1443.0</v>
      </c>
      <c r="T11" s="22">
        <v>452.0</v>
      </c>
      <c r="U11" s="46">
        <v>3375.0</v>
      </c>
      <c r="V11" s="47">
        <v>5223.0</v>
      </c>
      <c r="W11" s="22">
        <v>1171.0</v>
      </c>
      <c r="X11" s="22">
        <v>32504.0</v>
      </c>
      <c r="Y11" s="22">
        <v>4487.0</v>
      </c>
      <c r="Z11" s="22">
        <v>1291.0</v>
      </c>
      <c r="AA11" s="22">
        <v>4198.0</v>
      </c>
      <c r="AB11" s="22">
        <v>107855.0</v>
      </c>
      <c r="AC11" s="22">
        <v>5042.0</v>
      </c>
      <c r="AD11" s="22">
        <v>32256.0</v>
      </c>
      <c r="AE11" s="22">
        <v>2619.0</v>
      </c>
      <c r="AF11" s="22">
        <v>15619.0</v>
      </c>
      <c r="AG11" s="22">
        <v>2845.0</v>
      </c>
      <c r="AH11" s="22">
        <v>2336.0</v>
      </c>
      <c r="AI11" s="22">
        <v>6432.0</v>
      </c>
      <c r="AJ11" s="22">
        <v>13347.0</v>
      </c>
      <c r="AK11" s="22">
        <v>9719.0</v>
      </c>
      <c r="AL11" s="22">
        <v>2113.0</v>
      </c>
      <c r="AM11" s="46">
        <v>9344.0</v>
      </c>
      <c r="AN11" s="2"/>
      <c r="AO11" s="2"/>
      <c r="AP11" s="2"/>
    </row>
    <row r="12" ht="21.0" customHeight="1">
      <c r="A12" s="21" t="s">
        <v>24</v>
      </c>
      <c r="B12" s="22">
        <v>33068.0</v>
      </c>
      <c r="C12" s="46">
        <v>151022.0</v>
      </c>
      <c r="D12" s="47">
        <v>260.0</v>
      </c>
      <c r="E12" s="22">
        <v>13.0</v>
      </c>
      <c r="F12" s="22">
        <v>5708.0</v>
      </c>
      <c r="G12" s="22">
        <v>78.0</v>
      </c>
      <c r="H12" s="22">
        <v>52.0</v>
      </c>
      <c r="I12" s="22">
        <v>53.0</v>
      </c>
      <c r="J12" s="22">
        <v>17615.0</v>
      </c>
      <c r="K12" s="22">
        <v>173.0</v>
      </c>
      <c r="L12" s="22">
        <v>3659.0</v>
      </c>
      <c r="M12" s="22">
        <v>301.0</v>
      </c>
      <c r="N12" s="22">
        <v>1582.0</v>
      </c>
      <c r="O12" s="22">
        <v>158.0</v>
      </c>
      <c r="P12" s="22">
        <v>372.0</v>
      </c>
      <c r="Q12" s="22">
        <v>214.0</v>
      </c>
      <c r="R12" s="22">
        <v>338.0</v>
      </c>
      <c r="S12" s="22">
        <v>755.0</v>
      </c>
      <c r="T12" s="22">
        <v>150.0</v>
      </c>
      <c r="U12" s="46">
        <v>1587.0</v>
      </c>
      <c r="V12" s="47">
        <v>3309.0</v>
      </c>
      <c r="W12" s="22">
        <v>871.0</v>
      </c>
      <c r="X12" s="22">
        <v>22298.0</v>
      </c>
      <c r="Y12" s="22">
        <v>2532.0</v>
      </c>
      <c r="Z12" s="22">
        <v>780.0</v>
      </c>
      <c r="AA12" s="22">
        <v>1520.0</v>
      </c>
      <c r="AB12" s="22">
        <v>66751.0</v>
      </c>
      <c r="AC12" s="22">
        <v>1666.0</v>
      </c>
      <c r="AD12" s="22">
        <v>13642.0</v>
      </c>
      <c r="AE12" s="22">
        <v>1216.0</v>
      </c>
      <c r="AF12" s="22">
        <v>11994.0</v>
      </c>
      <c r="AG12" s="22">
        <v>563.0</v>
      </c>
      <c r="AH12" s="22">
        <v>1157.0</v>
      </c>
      <c r="AI12" s="22">
        <v>1841.0</v>
      </c>
      <c r="AJ12" s="22">
        <v>8009.0</v>
      </c>
      <c r="AK12" s="22">
        <v>6264.0</v>
      </c>
      <c r="AL12" s="22">
        <v>2431.0</v>
      </c>
      <c r="AM12" s="46">
        <v>4178.0</v>
      </c>
      <c r="AN12" s="2"/>
      <c r="AO12" s="2"/>
      <c r="AP12" s="2"/>
    </row>
    <row r="13" ht="21.0" customHeight="1">
      <c r="A13" s="45" t="s">
        <v>25</v>
      </c>
      <c r="B13" s="22">
        <v>137528.0</v>
      </c>
      <c r="C13" s="46">
        <v>841865.0</v>
      </c>
      <c r="D13" s="47">
        <v>1498.0</v>
      </c>
      <c r="E13" s="22">
        <v>70.0</v>
      </c>
      <c r="F13" s="22">
        <v>18258.0</v>
      </c>
      <c r="G13" s="22">
        <v>163.0</v>
      </c>
      <c r="H13" s="22">
        <v>252.0</v>
      </c>
      <c r="I13" s="22">
        <v>406.0</v>
      </c>
      <c r="J13" s="22">
        <v>69587.0</v>
      </c>
      <c r="K13" s="22">
        <v>1172.0</v>
      </c>
      <c r="L13" s="22">
        <v>17742.0</v>
      </c>
      <c r="M13" s="22">
        <v>1374.0</v>
      </c>
      <c r="N13" s="22">
        <v>5821.0</v>
      </c>
      <c r="O13" s="22">
        <v>1311.0</v>
      </c>
      <c r="P13" s="22">
        <v>1601.0</v>
      </c>
      <c r="Q13" s="22">
        <v>1417.0</v>
      </c>
      <c r="R13" s="22">
        <v>1552.0</v>
      </c>
      <c r="S13" s="22">
        <v>4017.0</v>
      </c>
      <c r="T13" s="22">
        <v>1302.0</v>
      </c>
      <c r="U13" s="46">
        <v>9985.0</v>
      </c>
      <c r="V13" s="47">
        <v>17501.0</v>
      </c>
      <c r="W13" s="22">
        <v>1497.0</v>
      </c>
      <c r="X13" s="22">
        <v>226672.0</v>
      </c>
      <c r="Y13" s="22">
        <v>7327.0</v>
      </c>
      <c r="Z13" s="22">
        <v>6310.0</v>
      </c>
      <c r="AA13" s="22">
        <v>15903.0</v>
      </c>
      <c r="AB13" s="22">
        <v>256941.0</v>
      </c>
      <c r="AC13" s="22">
        <v>18177.0</v>
      </c>
      <c r="AD13" s="22">
        <v>79877.0</v>
      </c>
      <c r="AE13" s="22">
        <v>6687.0</v>
      </c>
      <c r="AF13" s="22">
        <v>32626.0</v>
      </c>
      <c r="AG13" s="22">
        <v>13059.0</v>
      </c>
      <c r="AH13" s="22">
        <v>7337.0</v>
      </c>
      <c r="AI13" s="22">
        <v>54432.0</v>
      </c>
      <c r="AJ13" s="22">
        <v>33325.0</v>
      </c>
      <c r="AK13" s="22">
        <v>29458.0</v>
      </c>
      <c r="AL13" s="22">
        <v>7912.0</v>
      </c>
      <c r="AM13" s="46">
        <v>26824.0</v>
      </c>
      <c r="AN13" s="2"/>
      <c r="AO13" s="2"/>
      <c r="AP13" s="2"/>
    </row>
    <row r="14" ht="21.0" customHeight="1">
      <c r="A14" s="21" t="s">
        <v>26</v>
      </c>
      <c r="B14" s="22">
        <v>160056.0</v>
      </c>
      <c r="C14" s="46">
        <v>1295448.0</v>
      </c>
      <c r="D14" s="47">
        <v>1371.0</v>
      </c>
      <c r="E14" s="22">
        <v>48.0</v>
      </c>
      <c r="F14" s="22">
        <v>19491.0</v>
      </c>
      <c r="G14" s="22">
        <v>119.0</v>
      </c>
      <c r="H14" s="22">
        <v>271.0</v>
      </c>
      <c r="I14" s="22">
        <v>614.0</v>
      </c>
      <c r="J14" s="22">
        <v>80271.0</v>
      </c>
      <c r="K14" s="22">
        <v>1640.0</v>
      </c>
      <c r="L14" s="22">
        <v>23175.0</v>
      </c>
      <c r="M14" s="22">
        <v>1788.0</v>
      </c>
      <c r="N14" s="22">
        <v>6380.0</v>
      </c>
      <c r="O14" s="22">
        <v>1381.0</v>
      </c>
      <c r="P14" s="22">
        <v>1920.0</v>
      </c>
      <c r="Q14" s="22">
        <v>1595.0</v>
      </c>
      <c r="R14" s="22">
        <v>2361.0</v>
      </c>
      <c r="S14" s="22">
        <v>4364.0</v>
      </c>
      <c r="T14" s="22">
        <v>1637.0</v>
      </c>
      <c r="U14" s="46">
        <v>11630.0</v>
      </c>
      <c r="V14" s="47">
        <v>13740.0</v>
      </c>
      <c r="W14" s="22">
        <v>1876.0</v>
      </c>
      <c r="X14" s="22">
        <v>505356.0</v>
      </c>
      <c r="Y14" s="22">
        <v>5784.0</v>
      </c>
      <c r="Z14" s="22">
        <v>6675.0</v>
      </c>
      <c r="AA14" s="22">
        <v>31079.0</v>
      </c>
      <c r="AB14" s="22">
        <v>314193.0</v>
      </c>
      <c r="AC14" s="22">
        <v>30933.0</v>
      </c>
      <c r="AD14" s="22">
        <v>102020.0</v>
      </c>
      <c r="AE14" s="22">
        <v>9755.0</v>
      </c>
      <c r="AF14" s="22">
        <v>39064.0</v>
      </c>
      <c r="AG14" s="22">
        <v>13880.0</v>
      </c>
      <c r="AH14" s="22">
        <v>21061.0</v>
      </c>
      <c r="AI14" s="22">
        <v>63568.0</v>
      </c>
      <c r="AJ14" s="22">
        <v>51802.0</v>
      </c>
      <c r="AK14" s="22">
        <v>41373.0</v>
      </c>
      <c r="AL14" s="22">
        <v>11235.0</v>
      </c>
      <c r="AM14" s="46">
        <v>32054.0</v>
      </c>
      <c r="AN14" s="2"/>
      <c r="AO14" s="2"/>
      <c r="AP14" s="2"/>
    </row>
    <row r="15" ht="21.0" customHeight="1">
      <c r="A15" s="21" t="s">
        <v>27</v>
      </c>
      <c r="B15" s="22">
        <v>23285.0</v>
      </c>
      <c r="C15" s="46">
        <v>109334.0</v>
      </c>
      <c r="D15" s="47">
        <v>233.0</v>
      </c>
      <c r="E15" s="22">
        <v>18.0</v>
      </c>
      <c r="F15" s="22">
        <v>3072.0</v>
      </c>
      <c r="G15" s="22">
        <v>94.0</v>
      </c>
      <c r="H15" s="22">
        <v>65.0</v>
      </c>
      <c r="I15" s="22">
        <v>82.0</v>
      </c>
      <c r="J15" s="22">
        <v>12452.0</v>
      </c>
      <c r="K15" s="22">
        <v>227.0</v>
      </c>
      <c r="L15" s="22">
        <v>2759.0</v>
      </c>
      <c r="M15" s="22">
        <v>304.0</v>
      </c>
      <c r="N15" s="22">
        <v>1206.0</v>
      </c>
      <c r="O15" s="22">
        <v>181.0</v>
      </c>
      <c r="P15" s="22">
        <v>295.0</v>
      </c>
      <c r="Q15" s="22">
        <v>242.0</v>
      </c>
      <c r="R15" s="22">
        <v>300.0</v>
      </c>
      <c r="S15" s="22">
        <v>450.0</v>
      </c>
      <c r="T15" s="22">
        <v>348.0</v>
      </c>
      <c r="U15" s="46">
        <v>957.0</v>
      </c>
      <c r="V15" s="47">
        <v>2799.0</v>
      </c>
      <c r="W15" s="22">
        <v>1651.0</v>
      </c>
      <c r="X15" s="22">
        <v>11383.0</v>
      </c>
      <c r="Y15" s="22">
        <v>2879.0</v>
      </c>
      <c r="Z15" s="22">
        <v>846.0</v>
      </c>
      <c r="AA15" s="22">
        <v>2318.0</v>
      </c>
      <c r="AB15" s="22">
        <v>46112.0</v>
      </c>
      <c r="AC15" s="22">
        <v>2559.0</v>
      </c>
      <c r="AD15" s="22">
        <v>11785.0</v>
      </c>
      <c r="AE15" s="22">
        <v>1229.0</v>
      </c>
      <c r="AF15" s="22">
        <v>7255.0</v>
      </c>
      <c r="AG15" s="22">
        <v>1015.0</v>
      </c>
      <c r="AH15" s="22">
        <v>938.0</v>
      </c>
      <c r="AI15" s="22">
        <v>4277.0</v>
      </c>
      <c r="AJ15" s="22">
        <v>4832.0</v>
      </c>
      <c r="AK15" s="22">
        <v>3651.0</v>
      </c>
      <c r="AL15" s="22">
        <v>1447.0</v>
      </c>
      <c r="AM15" s="46">
        <v>2358.0</v>
      </c>
      <c r="AN15" s="2"/>
      <c r="AO15" s="2"/>
      <c r="AP15" s="2"/>
    </row>
    <row r="16" ht="21.0" customHeight="1">
      <c r="A16" s="21" t="s">
        <v>28</v>
      </c>
      <c r="B16" s="22">
        <v>45223.0</v>
      </c>
      <c r="C16" s="46">
        <v>225550.0</v>
      </c>
      <c r="D16" s="47">
        <v>403.0</v>
      </c>
      <c r="E16" s="22">
        <v>43.0</v>
      </c>
      <c r="F16" s="22">
        <v>6995.0</v>
      </c>
      <c r="G16" s="22">
        <v>108.0</v>
      </c>
      <c r="H16" s="22">
        <v>65.0</v>
      </c>
      <c r="I16" s="22">
        <v>127.0</v>
      </c>
      <c r="J16" s="22">
        <v>22902.0</v>
      </c>
      <c r="K16" s="22">
        <v>453.0</v>
      </c>
      <c r="L16" s="22">
        <v>5332.0</v>
      </c>
      <c r="M16" s="22">
        <v>723.0</v>
      </c>
      <c r="N16" s="22">
        <v>2126.0</v>
      </c>
      <c r="O16" s="22">
        <v>323.0</v>
      </c>
      <c r="P16" s="22">
        <v>493.0</v>
      </c>
      <c r="Q16" s="22">
        <v>471.0</v>
      </c>
      <c r="R16" s="22">
        <v>585.0</v>
      </c>
      <c r="S16" s="22">
        <v>1003.0</v>
      </c>
      <c r="T16" s="22">
        <v>641.0</v>
      </c>
      <c r="U16" s="46">
        <v>2430.0</v>
      </c>
      <c r="V16" s="47">
        <v>4089.0</v>
      </c>
      <c r="W16" s="22">
        <v>1580.0</v>
      </c>
      <c r="X16" s="22">
        <v>28233.0</v>
      </c>
      <c r="Y16" s="22">
        <v>4211.0</v>
      </c>
      <c r="Z16" s="22">
        <v>2069.0</v>
      </c>
      <c r="AA16" s="22">
        <v>4366.0</v>
      </c>
      <c r="AB16" s="22">
        <v>91231.0</v>
      </c>
      <c r="AC16" s="22">
        <v>5309.0</v>
      </c>
      <c r="AD16" s="22">
        <v>22748.0</v>
      </c>
      <c r="AE16" s="22">
        <v>3252.0</v>
      </c>
      <c r="AF16" s="22">
        <v>16787.0</v>
      </c>
      <c r="AG16" s="22">
        <v>1817.0</v>
      </c>
      <c r="AH16" s="22">
        <v>1753.0</v>
      </c>
      <c r="AI16" s="22">
        <v>5708.0</v>
      </c>
      <c r="AJ16" s="22">
        <v>14112.0</v>
      </c>
      <c r="AK16" s="22">
        <v>8917.0</v>
      </c>
      <c r="AL16" s="22">
        <v>2900.0</v>
      </c>
      <c r="AM16" s="46">
        <v>6468.0</v>
      </c>
      <c r="AN16" s="2"/>
      <c r="AO16" s="2"/>
      <c r="AP16" s="2"/>
    </row>
    <row r="17" ht="21.0" customHeight="1">
      <c r="A17" s="45" t="s">
        <v>29</v>
      </c>
      <c r="B17" s="22">
        <v>73692.0</v>
      </c>
      <c r="C17" s="46">
        <v>457278.0</v>
      </c>
      <c r="D17" s="47">
        <v>936.0</v>
      </c>
      <c r="E17" s="22">
        <v>55.0</v>
      </c>
      <c r="F17" s="22">
        <v>8469.0</v>
      </c>
      <c r="G17" s="22">
        <v>122.0</v>
      </c>
      <c r="H17" s="22">
        <v>134.0</v>
      </c>
      <c r="I17" s="22">
        <v>234.0</v>
      </c>
      <c r="J17" s="22">
        <v>36539.0</v>
      </c>
      <c r="K17" s="22">
        <v>915.0</v>
      </c>
      <c r="L17" s="22">
        <v>11448.0</v>
      </c>
      <c r="M17" s="22">
        <v>873.0</v>
      </c>
      <c r="N17" s="22">
        <v>3830.0</v>
      </c>
      <c r="O17" s="22">
        <v>750.0</v>
      </c>
      <c r="P17" s="22">
        <v>881.0</v>
      </c>
      <c r="Q17" s="22">
        <v>985.0</v>
      </c>
      <c r="R17" s="22">
        <v>960.0</v>
      </c>
      <c r="S17" s="22">
        <v>1698.0</v>
      </c>
      <c r="T17" s="22">
        <v>758.0</v>
      </c>
      <c r="U17" s="46">
        <v>4105.0</v>
      </c>
      <c r="V17" s="47">
        <v>21555.0</v>
      </c>
      <c r="W17" s="22">
        <v>4825.0</v>
      </c>
      <c r="X17" s="22">
        <v>47339.0</v>
      </c>
      <c r="Y17" s="22">
        <v>6206.0</v>
      </c>
      <c r="Z17" s="22">
        <v>2792.0</v>
      </c>
      <c r="AA17" s="22">
        <v>7276.0</v>
      </c>
      <c r="AB17" s="22">
        <v>155814.0</v>
      </c>
      <c r="AC17" s="22">
        <v>21741.0</v>
      </c>
      <c r="AD17" s="22">
        <v>47079.0</v>
      </c>
      <c r="AE17" s="22">
        <v>4231.0</v>
      </c>
      <c r="AF17" s="22">
        <v>29423.0</v>
      </c>
      <c r="AG17" s="22">
        <v>5328.0</v>
      </c>
      <c r="AH17" s="22">
        <v>4174.0</v>
      </c>
      <c r="AI17" s="22">
        <v>45973.0</v>
      </c>
      <c r="AJ17" s="22">
        <v>20363.0</v>
      </c>
      <c r="AK17" s="22">
        <v>16538.0</v>
      </c>
      <c r="AL17" s="22">
        <v>3916.0</v>
      </c>
      <c r="AM17" s="46">
        <v>12705.0</v>
      </c>
      <c r="AN17" s="2"/>
      <c r="AO17" s="2"/>
      <c r="AP17" s="2"/>
    </row>
    <row r="18" ht="21.0" customHeight="1">
      <c r="A18" s="21" t="s">
        <v>30</v>
      </c>
      <c r="B18" s="22">
        <v>78419.0</v>
      </c>
      <c r="C18" s="46">
        <v>773933.0</v>
      </c>
      <c r="D18" s="47">
        <v>727.0</v>
      </c>
      <c r="E18" s="22">
        <v>48.0</v>
      </c>
      <c r="F18" s="22">
        <v>8996.0</v>
      </c>
      <c r="G18" s="22">
        <v>103.0</v>
      </c>
      <c r="H18" s="22">
        <v>172.0</v>
      </c>
      <c r="I18" s="22">
        <v>515.0</v>
      </c>
      <c r="J18" s="22">
        <v>36177.0</v>
      </c>
      <c r="K18" s="22">
        <v>1497.0</v>
      </c>
      <c r="L18" s="22">
        <v>12761.0</v>
      </c>
      <c r="M18" s="22">
        <v>904.0</v>
      </c>
      <c r="N18" s="22">
        <v>4598.0</v>
      </c>
      <c r="O18" s="22">
        <v>1395.0</v>
      </c>
      <c r="P18" s="22">
        <v>1189.0</v>
      </c>
      <c r="Q18" s="22">
        <v>1252.0</v>
      </c>
      <c r="R18" s="22">
        <v>957.0</v>
      </c>
      <c r="S18" s="22">
        <v>1549.0</v>
      </c>
      <c r="T18" s="22">
        <v>1113.0</v>
      </c>
      <c r="U18" s="46">
        <v>4466.0</v>
      </c>
      <c r="V18" s="47">
        <v>11526.0</v>
      </c>
      <c r="W18" s="22">
        <v>4192.0</v>
      </c>
      <c r="X18" s="22">
        <v>169036.0</v>
      </c>
      <c r="Y18" s="22">
        <v>5778.0</v>
      </c>
      <c r="Z18" s="22">
        <v>4141.0</v>
      </c>
      <c r="AA18" s="22">
        <v>19142.0</v>
      </c>
      <c r="AB18" s="22">
        <v>178694.0</v>
      </c>
      <c r="AC18" s="22">
        <v>29344.0</v>
      </c>
      <c r="AD18" s="22">
        <v>61276.0</v>
      </c>
      <c r="AE18" s="22">
        <v>13416.0</v>
      </c>
      <c r="AF18" s="22">
        <v>33610.0</v>
      </c>
      <c r="AG18" s="22">
        <v>11193.0</v>
      </c>
      <c r="AH18" s="22">
        <v>13260.0</v>
      </c>
      <c r="AI18" s="22">
        <v>153172.0</v>
      </c>
      <c r="AJ18" s="22">
        <v>27463.0</v>
      </c>
      <c r="AK18" s="22">
        <v>17016.0</v>
      </c>
      <c r="AL18" s="22">
        <v>6889.0</v>
      </c>
      <c r="AM18" s="46">
        <v>14785.0</v>
      </c>
      <c r="AN18" s="2"/>
      <c r="AO18" s="2"/>
      <c r="AP18" s="2"/>
    </row>
    <row r="19" ht="21.0" customHeight="1">
      <c r="A19" s="21" t="s">
        <v>31</v>
      </c>
      <c r="B19" s="22">
        <v>35316.0</v>
      </c>
      <c r="C19" s="46">
        <v>166515.0</v>
      </c>
      <c r="D19" s="47">
        <v>361.0</v>
      </c>
      <c r="E19" s="22">
        <v>48.0</v>
      </c>
      <c r="F19" s="22">
        <v>5084.0</v>
      </c>
      <c r="G19" s="22">
        <v>71.0</v>
      </c>
      <c r="H19" s="22">
        <v>45.0</v>
      </c>
      <c r="I19" s="22">
        <v>151.0</v>
      </c>
      <c r="J19" s="22">
        <v>17853.0</v>
      </c>
      <c r="K19" s="22">
        <v>429.0</v>
      </c>
      <c r="L19" s="22">
        <v>4302.0</v>
      </c>
      <c r="M19" s="22">
        <v>595.0</v>
      </c>
      <c r="N19" s="22">
        <v>1837.0</v>
      </c>
      <c r="O19" s="22">
        <v>502.0</v>
      </c>
      <c r="P19" s="22">
        <v>368.0</v>
      </c>
      <c r="Q19" s="22">
        <v>344.0</v>
      </c>
      <c r="R19" s="22">
        <v>305.0</v>
      </c>
      <c r="S19" s="22">
        <v>560.0</v>
      </c>
      <c r="T19" s="22">
        <v>876.0</v>
      </c>
      <c r="U19" s="46">
        <v>1585.0</v>
      </c>
      <c r="V19" s="47">
        <v>3746.0</v>
      </c>
      <c r="W19" s="22">
        <v>1351.0</v>
      </c>
      <c r="X19" s="22">
        <v>23515.0</v>
      </c>
      <c r="Y19" s="22">
        <v>3740.0</v>
      </c>
      <c r="Z19" s="22">
        <v>883.0</v>
      </c>
      <c r="AA19" s="22">
        <v>4828.0</v>
      </c>
      <c r="AB19" s="22">
        <v>67389.0</v>
      </c>
      <c r="AC19" s="22">
        <v>4534.0</v>
      </c>
      <c r="AD19" s="22">
        <v>17161.0</v>
      </c>
      <c r="AE19" s="22">
        <v>1854.0</v>
      </c>
      <c r="AF19" s="22">
        <v>11176.0</v>
      </c>
      <c r="AG19" s="22">
        <v>1213.0</v>
      </c>
      <c r="AH19" s="22">
        <v>1304.0</v>
      </c>
      <c r="AI19" s="22">
        <v>5596.0</v>
      </c>
      <c r="AJ19" s="22">
        <v>6209.0</v>
      </c>
      <c r="AK19" s="22">
        <v>5288.0</v>
      </c>
      <c r="AL19" s="22">
        <v>2421.0</v>
      </c>
      <c r="AM19" s="46">
        <v>4307.0</v>
      </c>
      <c r="AN19" s="2"/>
      <c r="AO19" s="2"/>
      <c r="AP19" s="2"/>
    </row>
    <row r="20" ht="21.0" customHeight="1">
      <c r="A20" s="21" t="s">
        <v>32</v>
      </c>
      <c r="B20" s="22">
        <v>33691.0</v>
      </c>
      <c r="C20" s="46">
        <v>164883.0</v>
      </c>
      <c r="D20" s="47">
        <v>222.0</v>
      </c>
      <c r="E20" s="22">
        <v>43.0</v>
      </c>
      <c r="F20" s="22">
        <v>3988.0</v>
      </c>
      <c r="G20" s="22">
        <v>24.0</v>
      </c>
      <c r="H20" s="22">
        <v>38.0</v>
      </c>
      <c r="I20" s="22">
        <v>101.0</v>
      </c>
      <c r="J20" s="22">
        <v>18524.0</v>
      </c>
      <c r="K20" s="22">
        <v>403.0</v>
      </c>
      <c r="L20" s="22">
        <v>4807.0</v>
      </c>
      <c r="M20" s="22">
        <v>412.0</v>
      </c>
      <c r="N20" s="22">
        <v>1559.0</v>
      </c>
      <c r="O20" s="22">
        <v>210.0</v>
      </c>
      <c r="P20" s="22">
        <v>298.0</v>
      </c>
      <c r="Q20" s="22">
        <v>318.0</v>
      </c>
      <c r="R20" s="22">
        <v>257.0</v>
      </c>
      <c r="S20" s="22">
        <v>446.0</v>
      </c>
      <c r="T20" s="22">
        <v>556.0</v>
      </c>
      <c r="U20" s="46">
        <v>1485.0</v>
      </c>
      <c r="V20" s="47">
        <v>8327.0</v>
      </c>
      <c r="W20" s="22">
        <v>358.0</v>
      </c>
      <c r="X20" s="22">
        <v>22402.0</v>
      </c>
      <c r="Y20" s="22">
        <v>2288.0</v>
      </c>
      <c r="Z20" s="22">
        <v>811.0</v>
      </c>
      <c r="AA20" s="22">
        <v>2910.0</v>
      </c>
      <c r="AB20" s="22">
        <v>68973.0</v>
      </c>
      <c r="AC20" s="22">
        <v>5075.0</v>
      </c>
      <c r="AD20" s="22">
        <v>19260.0</v>
      </c>
      <c r="AE20" s="22">
        <v>1503.0</v>
      </c>
      <c r="AF20" s="22">
        <v>9702.0</v>
      </c>
      <c r="AG20" s="22">
        <v>1015.0</v>
      </c>
      <c r="AH20" s="22">
        <v>1271.0</v>
      </c>
      <c r="AI20" s="22">
        <v>3005.0</v>
      </c>
      <c r="AJ20" s="22">
        <v>7259.0</v>
      </c>
      <c r="AK20" s="22">
        <v>5166.0</v>
      </c>
      <c r="AL20" s="22">
        <v>1259.0</v>
      </c>
      <c r="AM20" s="46">
        <v>4299.0</v>
      </c>
      <c r="AN20" s="22"/>
      <c r="AO20" s="22"/>
      <c r="AP20" s="22"/>
    </row>
    <row r="21" ht="21.0" customHeight="1">
      <c r="A21" s="21" t="s">
        <v>33</v>
      </c>
      <c r="B21" s="22">
        <v>38910.0</v>
      </c>
      <c r="C21" s="46">
        <v>269488.0</v>
      </c>
      <c r="D21" s="47">
        <v>532.0</v>
      </c>
      <c r="E21" s="22">
        <v>46.0</v>
      </c>
      <c r="F21" s="22">
        <v>4314.0</v>
      </c>
      <c r="G21" s="22">
        <v>91.0</v>
      </c>
      <c r="H21" s="22">
        <v>38.0</v>
      </c>
      <c r="I21" s="22">
        <v>92.0</v>
      </c>
      <c r="J21" s="22">
        <v>20373.0</v>
      </c>
      <c r="K21" s="22">
        <v>517.0</v>
      </c>
      <c r="L21" s="22">
        <v>5313.0</v>
      </c>
      <c r="M21" s="22">
        <v>509.0</v>
      </c>
      <c r="N21" s="22">
        <v>2130.0</v>
      </c>
      <c r="O21" s="22">
        <v>288.0</v>
      </c>
      <c r="P21" s="22">
        <v>505.0</v>
      </c>
      <c r="Q21" s="22">
        <v>431.0</v>
      </c>
      <c r="R21" s="22">
        <v>518.0</v>
      </c>
      <c r="S21" s="22">
        <v>691.0</v>
      </c>
      <c r="T21" s="22">
        <v>607.0</v>
      </c>
      <c r="U21" s="46">
        <v>1915.0</v>
      </c>
      <c r="V21" s="47">
        <v>22441.0</v>
      </c>
      <c r="W21" s="22">
        <v>374.0</v>
      </c>
      <c r="X21" s="22">
        <v>35814.0</v>
      </c>
      <c r="Y21" s="22">
        <v>5688.0</v>
      </c>
      <c r="Z21" s="22">
        <v>1962.0</v>
      </c>
      <c r="AA21" s="22">
        <v>6553.0</v>
      </c>
      <c r="AB21" s="22">
        <v>91053.0</v>
      </c>
      <c r="AC21" s="22">
        <v>10801.0</v>
      </c>
      <c r="AD21" s="22">
        <v>21992.0</v>
      </c>
      <c r="AE21" s="22">
        <v>2782.0</v>
      </c>
      <c r="AF21" s="22">
        <v>15647.0</v>
      </c>
      <c r="AG21" s="22">
        <v>2070.0</v>
      </c>
      <c r="AH21" s="22">
        <v>2444.0</v>
      </c>
      <c r="AI21" s="22">
        <v>21715.0</v>
      </c>
      <c r="AJ21" s="22">
        <v>11820.0</v>
      </c>
      <c r="AK21" s="22">
        <v>8791.0</v>
      </c>
      <c r="AL21" s="22">
        <v>1800.0</v>
      </c>
      <c r="AM21" s="46">
        <v>5741.0</v>
      </c>
      <c r="AN21" s="22"/>
      <c r="AO21" s="22"/>
      <c r="AP21" s="22"/>
    </row>
    <row r="22" ht="21.0" customHeight="1">
      <c r="A22" s="21" t="s">
        <v>34</v>
      </c>
      <c r="B22" s="22">
        <v>60716.0</v>
      </c>
      <c r="C22" s="46">
        <v>430497.0</v>
      </c>
      <c r="D22" s="47">
        <v>704.0</v>
      </c>
      <c r="E22" s="22">
        <v>172.0</v>
      </c>
      <c r="F22" s="22">
        <v>6128.0</v>
      </c>
      <c r="G22" s="22">
        <v>47.0</v>
      </c>
      <c r="H22" s="22">
        <v>102.0</v>
      </c>
      <c r="I22" s="22">
        <v>248.0</v>
      </c>
      <c r="J22" s="22">
        <v>31551.0</v>
      </c>
      <c r="K22" s="22">
        <v>929.0</v>
      </c>
      <c r="L22" s="22">
        <v>9191.0</v>
      </c>
      <c r="M22" s="22">
        <v>775.0</v>
      </c>
      <c r="N22" s="22">
        <v>2533.0</v>
      </c>
      <c r="O22" s="22">
        <v>632.0</v>
      </c>
      <c r="P22" s="22">
        <v>893.0</v>
      </c>
      <c r="Q22" s="22">
        <v>935.0</v>
      </c>
      <c r="R22" s="22">
        <v>537.0</v>
      </c>
      <c r="S22" s="22">
        <v>1260.0</v>
      </c>
      <c r="T22" s="22">
        <v>717.0</v>
      </c>
      <c r="U22" s="46">
        <v>3362.0</v>
      </c>
      <c r="V22" s="47">
        <v>42946.0</v>
      </c>
      <c r="W22" s="22">
        <v>4227.0</v>
      </c>
      <c r="X22" s="22">
        <v>48828.0</v>
      </c>
      <c r="Y22" s="22">
        <v>2444.0</v>
      </c>
      <c r="Z22" s="22">
        <v>3462.0</v>
      </c>
      <c r="AA22" s="22">
        <v>11798.0</v>
      </c>
      <c r="AB22" s="22">
        <v>143209.0</v>
      </c>
      <c r="AC22" s="22">
        <v>17461.0</v>
      </c>
      <c r="AD22" s="22">
        <v>35774.0</v>
      </c>
      <c r="AE22" s="22">
        <v>3045.0</v>
      </c>
      <c r="AF22" s="22">
        <v>20570.0</v>
      </c>
      <c r="AG22" s="22">
        <v>4829.0</v>
      </c>
      <c r="AH22" s="22">
        <v>5262.0</v>
      </c>
      <c r="AI22" s="22">
        <v>46749.0</v>
      </c>
      <c r="AJ22" s="22">
        <v>15738.0</v>
      </c>
      <c r="AK22" s="22">
        <v>11462.0</v>
      </c>
      <c r="AL22" s="22">
        <v>3081.0</v>
      </c>
      <c r="AM22" s="46">
        <v>9612.0</v>
      </c>
      <c r="AN22" s="22"/>
      <c r="AO22" s="22"/>
      <c r="AP22" s="22"/>
    </row>
    <row r="23" ht="21.0" customHeight="1">
      <c r="A23" s="21" t="s">
        <v>35</v>
      </c>
      <c r="B23" s="22">
        <v>46474.0</v>
      </c>
      <c r="C23" s="46">
        <v>261690.0</v>
      </c>
      <c r="D23" s="47">
        <v>412.0</v>
      </c>
      <c r="E23" s="22">
        <v>62.0</v>
      </c>
      <c r="F23" s="22">
        <v>5506.0</v>
      </c>
      <c r="G23" s="22">
        <v>47.0</v>
      </c>
      <c r="H23" s="22">
        <v>68.0</v>
      </c>
      <c r="I23" s="22">
        <v>124.0</v>
      </c>
      <c r="J23" s="22">
        <v>25475.0</v>
      </c>
      <c r="K23" s="22">
        <v>352.0</v>
      </c>
      <c r="L23" s="22">
        <v>6662.0</v>
      </c>
      <c r="M23" s="22">
        <v>577.0</v>
      </c>
      <c r="N23" s="22">
        <v>1831.0</v>
      </c>
      <c r="O23" s="22">
        <v>289.0</v>
      </c>
      <c r="P23" s="22">
        <v>507.0</v>
      </c>
      <c r="Q23" s="22">
        <v>523.0</v>
      </c>
      <c r="R23" s="22">
        <v>444.0</v>
      </c>
      <c r="S23" s="22">
        <v>905.0</v>
      </c>
      <c r="T23" s="22">
        <v>386.0</v>
      </c>
      <c r="U23" s="46">
        <v>2304.0</v>
      </c>
      <c r="V23" s="47">
        <v>17788.0</v>
      </c>
      <c r="W23" s="22">
        <v>622.0</v>
      </c>
      <c r="X23" s="22">
        <v>36654.0</v>
      </c>
      <c r="Y23" s="22">
        <v>1822.0</v>
      </c>
      <c r="Z23" s="22">
        <v>1011.0</v>
      </c>
      <c r="AA23" s="22">
        <v>2635.0</v>
      </c>
      <c r="AB23" s="22">
        <v>94937.0</v>
      </c>
      <c r="AC23" s="22">
        <v>5162.0</v>
      </c>
      <c r="AD23" s="22">
        <v>25202.0</v>
      </c>
      <c r="AE23" s="22">
        <v>2103.0</v>
      </c>
      <c r="AF23" s="22">
        <v>12267.0</v>
      </c>
      <c r="AG23" s="22">
        <v>1664.0</v>
      </c>
      <c r="AH23" s="22">
        <v>2017.0</v>
      </c>
      <c r="AI23" s="22">
        <v>28102.0</v>
      </c>
      <c r="AJ23" s="22">
        <v>10102.0</v>
      </c>
      <c r="AK23" s="22">
        <v>11295.0</v>
      </c>
      <c r="AL23" s="22">
        <v>1659.0</v>
      </c>
      <c r="AM23" s="46">
        <v>6648.0</v>
      </c>
      <c r="AN23" s="22"/>
      <c r="AO23" s="22"/>
      <c r="AP23" s="22"/>
    </row>
    <row r="24" ht="21.0" customHeight="1">
      <c r="A24" s="21" t="s">
        <v>36</v>
      </c>
      <c r="B24" s="22">
        <v>22422.0</v>
      </c>
      <c r="C24" s="46">
        <v>125329.0</v>
      </c>
      <c r="D24" s="47">
        <v>129.0</v>
      </c>
      <c r="E24" s="22">
        <v>65.0</v>
      </c>
      <c r="F24" s="22">
        <v>2935.0</v>
      </c>
      <c r="G24" s="22">
        <v>34.0</v>
      </c>
      <c r="H24" s="22">
        <v>38.0</v>
      </c>
      <c r="I24" s="22">
        <v>78.0</v>
      </c>
      <c r="J24" s="22">
        <v>11339.0</v>
      </c>
      <c r="K24" s="22">
        <v>255.0</v>
      </c>
      <c r="L24" s="22">
        <v>3188.0</v>
      </c>
      <c r="M24" s="22">
        <v>311.0</v>
      </c>
      <c r="N24" s="22">
        <v>1321.0</v>
      </c>
      <c r="O24" s="22">
        <v>89.0</v>
      </c>
      <c r="P24" s="22">
        <v>261.0</v>
      </c>
      <c r="Q24" s="22">
        <v>228.0</v>
      </c>
      <c r="R24" s="22">
        <v>228.0</v>
      </c>
      <c r="S24" s="22">
        <v>341.0</v>
      </c>
      <c r="T24" s="22">
        <v>488.0</v>
      </c>
      <c r="U24" s="46">
        <v>1094.0</v>
      </c>
      <c r="V24" s="47">
        <v>3562.0</v>
      </c>
      <c r="W24" s="22">
        <v>5727.0</v>
      </c>
      <c r="X24" s="22">
        <v>16542.0</v>
      </c>
      <c r="Y24" s="22">
        <v>1424.0</v>
      </c>
      <c r="Z24" s="22">
        <v>1141.0</v>
      </c>
      <c r="AA24" s="22">
        <v>7287.0</v>
      </c>
      <c r="AB24" s="22">
        <v>43532.0</v>
      </c>
      <c r="AC24" s="22">
        <v>4064.0</v>
      </c>
      <c r="AD24" s="22">
        <v>12445.0</v>
      </c>
      <c r="AE24" s="22">
        <v>1336.0</v>
      </c>
      <c r="AF24" s="22">
        <v>8383.0</v>
      </c>
      <c r="AG24" s="22">
        <v>943.0</v>
      </c>
      <c r="AH24" s="22">
        <v>799.0</v>
      </c>
      <c r="AI24" s="22">
        <v>5818.0</v>
      </c>
      <c r="AJ24" s="22">
        <v>4895.0</v>
      </c>
      <c r="AK24" s="22">
        <v>2817.0</v>
      </c>
      <c r="AL24" s="22">
        <v>1669.0</v>
      </c>
      <c r="AM24" s="46">
        <v>2945.0</v>
      </c>
      <c r="AN24" s="22"/>
      <c r="AO24" s="22"/>
      <c r="AP24" s="22"/>
    </row>
    <row r="25" ht="21.0" customHeight="1">
      <c r="A25" s="48" t="s">
        <v>37</v>
      </c>
      <c r="B25" s="49">
        <v>10015.0</v>
      </c>
      <c r="C25" s="50">
        <v>44427.0</v>
      </c>
      <c r="D25" s="51">
        <v>105.0</v>
      </c>
      <c r="E25" s="49">
        <v>16.0</v>
      </c>
      <c r="F25" s="49">
        <v>1180.0</v>
      </c>
      <c r="G25" s="49">
        <v>18.0</v>
      </c>
      <c r="H25" s="49">
        <v>8.0</v>
      </c>
      <c r="I25" s="49">
        <v>10.0</v>
      </c>
      <c r="J25" s="49">
        <v>6148.0</v>
      </c>
      <c r="K25" s="49">
        <v>61.0</v>
      </c>
      <c r="L25" s="49">
        <v>1165.0</v>
      </c>
      <c r="M25" s="49">
        <v>69.0</v>
      </c>
      <c r="N25" s="49">
        <v>411.0</v>
      </c>
      <c r="O25" s="49">
        <v>15.0</v>
      </c>
      <c r="P25" s="49">
        <v>52.0</v>
      </c>
      <c r="Q25" s="49">
        <v>73.0</v>
      </c>
      <c r="R25" s="49">
        <v>239.0</v>
      </c>
      <c r="S25" s="49">
        <v>116.0</v>
      </c>
      <c r="T25" s="49">
        <v>26.0</v>
      </c>
      <c r="U25" s="50">
        <v>303.0</v>
      </c>
      <c r="V25" s="51">
        <v>2201.0</v>
      </c>
      <c r="W25" s="49">
        <v>219.0</v>
      </c>
      <c r="X25" s="49">
        <v>5135.0</v>
      </c>
      <c r="Y25" s="49">
        <v>739.0</v>
      </c>
      <c r="Z25" s="49">
        <v>494.0</v>
      </c>
      <c r="AA25" s="49">
        <v>200.0</v>
      </c>
      <c r="AB25" s="49">
        <v>19284.0</v>
      </c>
      <c r="AC25" s="49">
        <v>541.0</v>
      </c>
      <c r="AD25" s="49">
        <v>5313.0</v>
      </c>
      <c r="AE25" s="49">
        <v>260.0</v>
      </c>
      <c r="AF25" s="49">
        <v>1641.0</v>
      </c>
      <c r="AG25" s="49">
        <v>61.0</v>
      </c>
      <c r="AH25" s="49">
        <v>176.0</v>
      </c>
      <c r="AI25" s="49">
        <v>522.0</v>
      </c>
      <c r="AJ25" s="49">
        <v>5253.0</v>
      </c>
      <c r="AK25" s="49">
        <v>1267.0</v>
      </c>
      <c r="AL25" s="49">
        <v>104.0</v>
      </c>
      <c r="AM25" s="50">
        <v>1017.0</v>
      </c>
      <c r="AN25" s="22"/>
      <c r="AO25" s="22"/>
      <c r="AP25" s="22"/>
    </row>
    <row r="26" ht="21.0" customHeight="1">
      <c r="A26" s="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22"/>
      <c r="AO26" s="22"/>
      <c r="AP26" s="22"/>
    </row>
    <row r="27" ht="15.75" customHeight="1">
      <c r="A27" s="2" t="s">
        <v>96</v>
      </c>
      <c r="B27" s="2"/>
      <c r="C27" s="52"/>
      <c r="D27" s="52"/>
      <c r="E27" s="5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ht="15.75" customHeight="1">
      <c r="A28" s="53" t="s">
        <v>97</v>
      </c>
      <c r="B28" s="2"/>
      <c r="C28" s="52"/>
      <c r="D28" s="52"/>
      <c r="E28" s="5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ht="15.75" customHeight="1">
      <c r="A29" s="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22"/>
      <c r="AO29" s="22"/>
      <c r="AP29" s="22"/>
    </row>
    <row r="30" ht="15.75" customHeight="1">
      <c r="A30" s="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22"/>
      <c r="AO30" s="22"/>
      <c r="AP30" s="22"/>
    </row>
    <row r="31" ht="15.75" customHeight="1">
      <c r="A31" s="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22"/>
      <c r="AO31" s="22"/>
      <c r="AP31" s="22"/>
    </row>
    <row r="32" ht="15.75" customHeight="1">
      <c r="A32" s="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22"/>
      <c r="AO32" s="22"/>
      <c r="AP32" s="22"/>
    </row>
    <row r="33" ht="15.75" customHeight="1">
      <c r="A33" s="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22"/>
      <c r="AO33" s="22"/>
      <c r="AP33" s="22"/>
    </row>
    <row r="34" ht="15.75" customHeight="1">
      <c r="A34" s="2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22"/>
      <c r="AO34" s="22"/>
      <c r="AP34" s="22"/>
    </row>
    <row r="35" ht="15.75" customHeight="1">
      <c r="A35" s="2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22"/>
      <c r="AO35" s="22"/>
      <c r="AP35" s="22"/>
    </row>
    <row r="36" ht="15.75" customHeight="1">
      <c r="A36" s="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22"/>
      <c r="AO36" s="22"/>
      <c r="AP36" s="22"/>
    </row>
    <row r="37" ht="15.75" customHeight="1">
      <c r="A37" s="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22"/>
      <c r="AO37" s="22"/>
      <c r="AP37" s="22"/>
    </row>
    <row r="38" ht="15.75" customHeight="1">
      <c r="A38" s="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22"/>
      <c r="AO38" s="22"/>
      <c r="AP38" s="22"/>
    </row>
    <row r="39" ht="15.75" customHeight="1">
      <c r="A39" s="2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22"/>
      <c r="AO39" s="22"/>
      <c r="AP39" s="22"/>
    </row>
    <row r="40" ht="15.75" customHeight="1">
      <c r="A40" s="2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22"/>
      <c r="AO40" s="22"/>
      <c r="AP40" s="22"/>
    </row>
    <row r="41" ht="15.75" customHeight="1">
      <c r="A41" s="2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22"/>
      <c r="AO41" s="22"/>
      <c r="AP41" s="22"/>
    </row>
    <row r="42" ht="15.75" customHeight="1">
      <c r="A42" s="2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22"/>
      <c r="AO42" s="22"/>
      <c r="AP42" s="22"/>
    </row>
    <row r="43" ht="15.75" customHeight="1">
      <c r="A43" s="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22"/>
      <c r="AO43" s="22"/>
      <c r="AP43" s="22"/>
    </row>
    <row r="44" ht="15.75" customHeight="1">
      <c r="A44" s="2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22"/>
      <c r="AO44" s="22"/>
      <c r="AP44" s="22"/>
    </row>
    <row r="45" ht="15.75" customHeight="1">
      <c r="A45" s="2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22"/>
      <c r="AO45" s="22"/>
      <c r="AP45" s="22"/>
    </row>
    <row r="46" ht="15.75" customHeight="1">
      <c r="A46" s="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22"/>
      <c r="AO46" s="22"/>
      <c r="AP46" s="22"/>
    </row>
    <row r="47" ht="15.75" customHeight="1">
      <c r="A47" s="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22"/>
      <c r="AO47" s="22"/>
      <c r="AP47" s="22"/>
    </row>
    <row r="48" ht="15.75" customHeight="1">
      <c r="A48" s="2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22"/>
      <c r="AO48" s="22"/>
      <c r="AP48" s="22"/>
    </row>
    <row r="49" ht="15.75" customHeight="1">
      <c r="A49" s="2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22"/>
      <c r="AO49" s="22"/>
      <c r="AP49" s="22"/>
    </row>
    <row r="50" ht="15.75" customHeight="1">
      <c r="A50" s="2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22"/>
      <c r="AO50" s="22"/>
      <c r="AP50" s="22"/>
    </row>
    <row r="51" ht="15.75" customHeight="1">
      <c r="A51" s="2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22"/>
      <c r="AO51" s="22"/>
      <c r="AP51" s="22"/>
    </row>
    <row r="52" ht="15.75" customHeight="1">
      <c r="A52" s="2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22"/>
      <c r="AO52" s="22"/>
      <c r="AP52" s="22"/>
    </row>
    <row r="53" ht="15.75" customHeight="1">
      <c r="A53" s="2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22"/>
      <c r="AO53" s="22"/>
      <c r="AP53" s="22"/>
    </row>
    <row r="54" ht="15.75" customHeight="1">
      <c r="A54" s="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22"/>
      <c r="AO54" s="22"/>
      <c r="AP54" s="22"/>
    </row>
    <row r="55" ht="15.75" customHeight="1">
      <c r="A55" s="2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22"/>
      <c r="AO55" s="22"/>
      <c r="AP55" s="22"/>
    </row>
    <row r="56" ht="15.75" customHeight="1">
      <c r="A56" s="2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22"/>
      <c r="AO56" s="22"/>
      <c r="AP56" s="22"/>
    </row>
    <row r="57" ht="15.75" customHeight="1">
      <c r="A57" s="2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22"/>
      <c r="AO57" s="22"/>
      <c r="AP57" s="22"/>
    </row>
    <row r="58" ht="15.75" customHeight="1">
      <c r="A58" s="2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22"/>
      <c r="AO58" s="22"/>
      <c r="AP58" s="22"/>
    </row>
    <row r="59" ht="15.75" customHeight="1">
      <c r="A59" s="2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22"/>
      <c r="AO59" s="22"/>
      <c r="AP59" s="22"/>
    </row>
    <row r="60" ht="15.75" customHeight="1">
      <c r="A60" s="2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22"/>
      <c r="AO60" s="22"/>
      <c r="AP60" s="22"/>
    </row>
    <row r="61" ht="15.75" customHeight="1">
      <c r="A61" s="2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22"/>
      <c r="AO61" s="22"/>
      <c r="AP61" s="22"/>
    </row>
    <row r="62" ht="15.75" customHeight="1">
      <c r="A62" s="2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22"/>
      <c r="AO62" s="22"/>
      <c r="AP62" s="22"/>
    </row>
    <row r="63" ht="15.75" customHeight="1">
      <c r="A63" s="2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22"/>
      <c r="AO63" s="22"/>
      <c r="AP63" s="22"/>
    </row>
    <row r="64" ht="15.75" customHeight="1">
      <c r="A64" s="2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22"/>
      <c r="AO64" s="22"/>
      <c r="AP64" s="22"/>
    </row>
    <row r="65" ht="15.75" customHeight="1">
      <c r="A65" s="2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22"/>
      <c r="AO65" s="22"/>
      <c r="AP65" s="22"/>
    </row>
    <row r="66" ht="15.75" customHeight="1">
      <c r="A66" s="2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22"/>
      <c r="AO66" s="22"/>
      <c r="AP66" s="22"/>
    </row>
    <row r="67" ht="15.75" customHeight="1">
      <c r="A67" s="2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22"/>
      <c r="AO67" s="22"/>
      <c r="AP67" s="22"/>
    </row>
    <row r="68" ht="15.75" customHeight="1">
      <c r="A68" s="2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22"/>
      <c r="AO68" s="22"/>
      <c r="AP68" s="22"/>
    </row>
    <row r="69" ht="15.75" customHeight="1">
      <c r="A69" s="2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22"/>
      <c r="AO69" s="22"/>
      <c r="AP69" s="22"/>
    </row>
    <row r="70" ht="15.75" customHeight="1">
      <c r="A70" s="2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22"/>
      <c r="AO70" s="22"/>
      <c r="AP70" s="22"/>
    </row>
    <row r="71" ht="15.75" customHeight="1">
      <c r="A71" s="2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22"/>
      <c r="AO71" s="22"/>
      <c r="AP71" s="22"/>
    </row>
    <row r="72" ht="15.75" customHeight="1">
      <c r="A72" s="2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22"/>
      <c r="AO72" s="22"/>
      <c r="AP72" s="22"/>
    </row>
    <row r="73" ht="15.75" customHeight="1">
      <c r="A73" s="2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22"/>
      <c r="AO73" s="22"/>
      <c r="AP73" s="22"/>
    </row>
    <row r="74" ht="15.75" customHeight="1">
      <c r="A74" s="2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22"/>
      <c r="AO74" s="22"/>
      <c r="AP74" s="22"/>
    </row>
    <row r="75" ht="15.75" customHeight="1">
      <c r="A75" s="2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22"/>
      <c r="AO75" s="22"/>
      <c r="AP75" s="22"/>
    </row>
    <row r="76" ht="15.75" customHeight="1">
      <c r="A76" s="2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22"/>
      <c r="AO76" s="22"/>
      <c r="AP76" s="22"/>
    </row>
    <row r="77" ht="15.75" customHeight="1">
      <c r="A77" s="2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22"/>
      <c r="AO77" s="22"/>
      <c r="AP77" s="22"/>
    </row>
    <row r="78" ht="15.75" customHeight="1">
      <c r="A78" s="2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22"/>
      <c r="AO78" s="22"/>
      <c r="AP78" s="22"/>
    </row>
    <row r="79" ht="15.75" customHeight="1">
      <c r="A79" s="2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22"/>
      <c r="AO79" s="22"/>
      <c r="AP79" s="22"/>
    </row>
    <row r="80" ht="15.75" customHeight="1">
      <c r="A80" s="2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22"/>
      <c r="AO80" s="22"/>
      <c r="AP80" s="22"/>
    </row>
    <row r="81" ht="15.75" customHeight="1">
      <c r="A81" s="2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22"/>
      <c r="AO81" s="22"/>
      <c r="AP81" s="22"/>
    </row>
    <row r="82" ht="15.75" customHeight="1">
      <c r="A82" s="2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22"/>
      <c r="AO82" s="22"/>
      <c r="AP82" s="22"/>
    </row>
    <row r="83" ht="15.75" customHeight="1">
      <c r="A83" s="2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22"/>
      <c r="AO83" s="22"/>
      <c r="AP83" s="22"/>
    </row>
    <row r="84" ht="15.75" customHeight="1">
      <c r="A84" s="2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22"/>
      <c r="AO84" s="22"/>
      <c r="AP84" s="22"/>
    </row>
    <row r="85" ht="15.75" customHeight="1">
      <c r="A85" s="2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22"/>
      <c r="AO85" s="22"/>
      <c r="AP85" s="22"/>
    </row>
    <row r="86" ht="15.75" customHeight="1">
      <c r="A86" s="2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22"/>
      <c r="AO86" s="22"/>
      <c r="AP86" s="22"/>
    </row>
    <row r="87" ht="15.75" customHeight="1">
      <c r="A87" s="2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22"/>
      <c r="AO87" s="22"/>
      <c r="AP87" s="22"/>
    </row>
    <row r="88" ht="15.75" customHeight="1">
      <c r="A88" s="2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22"/>
      <c r="AO88" s="22"/>
      <c r="AP88" s="22"/>
    </row>
    <row r="89" ht="15.75" customHeight="1">
      <c r="A89" s="2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22"/>
      <c r="AO89" s="22"/>
      <c r="AP89" s="22"/>
    </row>
    <row r="90" ht="15.75" customHeight="1">
      <c r="A90" s="2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22"/>
      <c r="AO90" s="22"/>
      <c r="AP90" s="22"/>
    </row>
    <row r="91" ht="15.75" customHeight="1">
      <c r="A91" s="2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22"/>
      <c r="AO91" s="22"/>
      <c r="AP91" s="22"/>
    </row>
    <row r="92" ht="15.75" customHeight="1">
      <c r="A92" s="2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22"/>
      <c r="AO92" s="22"/>
      <c r="AP92" s="22"/>
    </row>
    <row r="93" ht="15.75" customHeight="1">
      <c r="A93" s="2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22"/>
      <c r="AO93" s="22"/>
      <c r="AP93" s="22"/>
    </row>
    <row r="94" ht="15.75" customHeight="1">
      <c r="A94" s="2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22"/>
      <c r="AO94" s="22"/>
      <c r="AP94" s="22"/>
    </row>
    <row r="95" ht="15.75" customHeight="1">
      <c r="A95" s="2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22"/>
      <c r="AO95" s="22"/>
      <c r="AP95" s="22"/>
    </row>
    <row r="96" ht="15.75" customHeight="1">
      <c r="A96" s="2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22"/>
      <c r="AO96" s="22"/>
      <c r="AP96" s="22"/>
    </row>
    <row r="97" ht="15.75" customHeight="1">
      <c r="A97" s="2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22"/>
      <c r="AO97" s="22"/>
      <c r="AP97" s="22"/>
    </row>
    <row r="98" ht="15.75" customHeight="1">
      <c r="A98" s="2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22"/>
      <c r="AO98" s="22"/>
      <c r="AP98" s="22"/>
    </row>
    <row r="99" ht="15.75" customHeight="1">
      <c r="A99" s="2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22"/>
      <c r="AO99" s="22"/>
      <c r="AP99" s="22"/>
    </row>
    <row r="100" ht="15.75" customHeight="1">
      <c r="A100" s="2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22"/>
      <c r="AO100" s="22"/>
      <c r="AP100" s="22"/>
    </row>
    <row r="101" ht="15.75" customHeight="1">
      <c r="A101" s="2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22"/>
      <c r="AO101" s="22"/>
      <c r="AP101" s="22"/>
    </row>
    <row r="102" ht="15.75" customHeight="1">
      <c r="A102" s="2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22"/>
      <c r="AO102" s="22"/>
      <c r="AP102" s="22"/>
    </row>
    <row r="103" ht="15.75" customHeight="1">
      <c r="A103" s="2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22"/>
      <c r="AO103" s="22"/>
      <c r="AP103" s="22"/>
    </row>
    <row r="104" ht="15.75" customHeight="1">
      <c r="A104" s="2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22"/>
      <c r="AO104" s="22"/>
      <c r="AP104" s="22"/>
    </row>
    <row r="105" ht="15.75" customHeight="1">
      <c r="A105" s="2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22"/>
      <c r="AO105" s="22"/>
      <c r="AP105" s="22"/>
    </row>
    <row r="106" ht="15.75" customHeight="1">
      <c r="A106" s="2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22"/>
      <c r="AO106" s="22"/>
      <c r="AP106" s="22"/>
    </row>
    <row r="107" ht="15.75" customHeight="1">
      <c r="A107" s="2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22"/>
      <c r="AO107" s="22"/>
      <c r="AP107" s="22"/>
    </row>
    <row r="108" ht="15.75" customHeight="1">
      <c r="A108" s="2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22"/>
      <c r="AO108" s="22"/>
      <c r="AP108" s="22"/>
    </row>
    <row r="109" ht="15.75" customHeight="1">
      <c r="A109" s="2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22"/>
      <c r="AO109" s="22"/>
      <c r="AP109" s="22"/>
    </row>
    <row r="110" ht="15.75" customHeight="1">
      <c r="A110" s="2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22"/>
      <c r="AO110" s="22"/>
      <c r="AP110" s="22"/>
    </row>
    <row r="111" ht="15.75" customHeight="1">
      <c r="A111" s="2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22"/>
      <c r="AO111" s="22"/>
      <c r="AP111" s="22"/>
    </row>
    <row r="112" ht="15.75" customHeight="1">
      <c r="A112" s="2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22"/>
      <c r="AO112" s="22"/>
      <c r="AP112" s="22"/>
    </row>
    <row r="113" ht="15.75" customHeight="1">
      <c r="A113" s="2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22"/>
      <c r="AO113" s="22"/>
      <c r="AP113" s="22"/>
    </row>
    <row r="114" ht="15.75" customHeight="1">
      <c r="A114" s="2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22"/>
      <c r="AO114" s="22"/>
      <c r="AP114" s="22"/>
    </row>
    <row r="115" ht="15.75" customHeight="1">
      <c r="A115" s="2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22"/>
      <c r="AO115" s="22"/>
      <c r="AP115" s="22"/>
    </row>
    <row r="116" ht="15.75" customHeight="1">
      <c r="A116" s="2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22"/>
      <c r="AO116" s="22"/>
      <c r="AP116" s="22"/>
    </row>
    <row r="117" ht="15.75" customHeight="1">
      <c r="A117" s="2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22"/>
      <c r="AO117" s="22"/>
      <c r="AP117" s="22"/>
    </row>
    <row r="118" ht="15.75" customHeight="1">
      <c r="A118" s="2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22"/>
      <c r="AO118" s="22"/>
      <c r="AP118" s="22"/>
    </row>
    <row r="119" ht="15.75" customHeight="1">
      <c r="A119" s="2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22"/>
      <c r="AO119" s="22"/>
      <c r="AP119" s="22"/>
    </row>
    <row r="120" ht="15.75" customHeight="1">
      <c r="A120" s="2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22"/>
      <c r="AO120" s="22"/>
      <c r="AP120" s="22"/>
    </row>
    <row r="121" ht="15.75" customHeight="1">
      <c r="A121" s="2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22"/>
      <c r="AO121" s="22"/>
      <c r="AP121" s="22"/>
    </row>
    <row r="122" ht="15.75" customHeight="1">
      <c r="A122" s="2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22"/>
      <c r="AO122" s="22"/>
      <c r="AP122" s="22"/>
    </row>
    <row r="123" ht="15.75" customHeight="1">
      <c r="A123" s="2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22"/>
      <c r="AO123" s="22"/>
      <c r="AP123" s="22"/>
    </row>
    <row r="124" ht="15.75" customHeight="1">
      <c r="A124" s="2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22"/>
      <c r="AO124" s="22"/>
      <c r="AP124" s="22"/>
    </row>
    <row r="125" ht="15.75" customHeight="1">
      <c r="A125" s="2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22"/>
      <c r="AO125" s="22"/>
      <c r="AP125" s="22"/>
    </row>
    <row r="126" ht="15.75" customHeight="1">
      <c r="A126" s="2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22"/>
      <c r="AO126" s="22"/>
      <c r="AP126" s="22"/>
    </row>
    <row r="127" ht="15.75" customHeight="1">
      <c r="A127" s="2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22"/>
      <c r="AO127" s="22"/>
      <c r="AP127" s="22"/>
    </row>
    <row r="128" ht="15.75" customHeight="1">
      <c r="A128" s="2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22"/>
      <c r="AO128" s="22"/>
      <c r="AP128" s="22"/>
    </row>
    <row r="129" ht="15.75" customHeight="1">
      <c r="A129" s="2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22"/>
      <c r="AO129" s="22"/>
      <c r="AP129" s="22"/>
    </row>
    <row r="130" ht="15.75" customHeight="1">
      <c r="A130" s="2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22"/>
      <c r="AO130" s="22"/>
      <c r="AP130" s="22"/>
    </row>
    <row r="131" ht="15.75" customHeight="1">
      <c r="A131" s="2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22"/>
      <c r="AO131" s="22"/>
      <c r="AP131" s="22"/>
    </row>
    <row r="132" ht="15.75" customHeight="1">
      <c r="A132" s="2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22"/>
      <c r="AO132" s="22"/>
      <c r="AP132" s="22"/>
    </row>
    <row r="133" ht="15.75" customHeight="1">
      <c r="A133" s="2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22"/>
      <c r="AO133" s="22"/>
      <c r="AP133" s="22"/>
    </row>
    <row r="134" ht="15.75" customHeight="1">
      <c r="A134" s="2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22"/>
      <c r="AO134" s="22"/>
      <c r="AP134" s="22"/>
    </row>
    <row r="135" ht="15.75" customHeight="1">
      <c r="A135" s="2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22"/>
      <c r="AO135" s="22"/>
      <c r="AP135" s="22"/>
    </row>
    <row r="136" ht="15.75" customHeight="1">
      <c r="A136" s="2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22"/>
      <c r="AO136" s="22"/>
      <c r="AP136" s="22"/>
    </row>
    <row r="137" ht="15.75" customHeight="1">
      <c r="A137" s="2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22"/>
      <c r="AO137" s="22"/>
      <c r="AP137" s="22"/>
    </row>
    <row r="138" ht="15.75" customHeight="1">
      <c r="A138" s="2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22"/>
      <c r="AO138" s="22"/>
      <c r="AP138" s="22"/>
    </row>
    <row r="139" ht="15.75" customHeight="1">
      <c r="A139" s="2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22"/>
      <c r="AO139" s="22"/>
      <c r="AP139" s="22"/>
    </row>
    <row r="140" ht="15.75" customHeight="1">
      <c r="A140" s="2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22"/>
      <c r="AO140" s="22"/>
      <c r="AP140" s="22"/>
    </row>
    <row r="141" ht="15.75" customHeight="1">
      <c r="A141" s="2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22"/>
      <c r="AO141" s="22"/>
      <c r="AP141" s="22"/>
    </row>
    <row r="142" ht="15.75" customHeight="1">
      <c r="A142" s="2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22"/>
      <c r="AO142" s="22"/>
      <c r="AP142" s="22"/>
    </row>
    <row r="143" ht="15.75" customHeight="1">
      <c r="A143" s="2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22"/>
      <c r="AO143" s="22"/>
      <c r="AP143" s="22"/>
    </row>
    <row r="144" ht="15.75" customHeight="1">
      <c r="A144" s="2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22"/>
      <c r="AO144" s="22"/>
      <c r="AP144" s="22"/>
    </row>
    <row r="145" ht="15.75" customHeight="1">
      <c r="A145" s="2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22"/>
      <c r="AO145" s="22"/>
      <c r="AP145" s="22"/>
    </row>
    <row r="146" ht="15.75" customHeight="1">
      <c r="A146" s="2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22"/>
      <c r="AO146" s="22"/>
      <c r="AP146" s="22"/>
    </row>
    <row r="147" ht="15.75" customHeight="1">
      <c r="A147" s="2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22"/>
      <c r="AO147" s="22"/>
      <c r="AP147" s="22"/>
    </row>
    <row r="148" ht="15.75" customHeight="1">
      <c r="A148" s="2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22"/>
      <c r="AO148" s="22"/>
      <c r="AP148" s="22"/>
    </row>
    <row r="149" ht="15.75" customHeight="1">
      <c r="A149" s="2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22"/>
      <c r="AO149" s="22"/>
      <c r="AP149" s="22"/>
    </row>
    <row r="150" ht="15.75" customHeight="1">
      <c r="A150" s="2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22"/>
      <c r="AO150" s="22"/>
      <c r="AP150" s="22"/>
    </row>
    <row r="151" ht="15.75" customHeight="1">
      <c r="A151" s="2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22"/>
      <c r="AO151" s="22"/>
      <c r="AP151" s="22"/>
    </row>
    <row r="152" ht="15.75" customHeight="1">
      <c r="A152" s="2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22"/>
      <c r="AO152" s="22"/>
      <c r="AP152" s="22"/>
    </row>
    <row r="153" ht="15.75" customHeight="1">
      <c r="A153" s="2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22"/>
      <c r="AO153" s="22"/>
      <c r="AP153" s="22"/>
    </row>
    <row r="154" ht="15.75" customHeight="1">
      <c r="A154" s="2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22"/>
      <c r="AO154" s="22"/>
      <c r="AP154" s="22"/>
    </row>
    <row r="155" ht="15.75" customHeight="1">
      <c r="A155" s="2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22"/>
      <c r="AO155" s="22"/>
      <c r="AP155" s="22"/>
    </row>
    <row r="156" ht="15.75" customHeight="1">
      <c r="A156" s="2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22"/>
      <c r="AO156" s="22"/>
      <c r="AP156" s="22"/>
    </row>
    <row r="157" ht="15.75" customHeight="1">
      <c r="A157" s="2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22"/>
      <c r="AO157" s="22"/>
      <c r="AP157" s="22"/>
    </row>
    <row r="158" ht="15.75" customHeight="1">
      <c r="A158" s="2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22"/>
      <c r="AO158" s="22"/>
      <c r="AP158" s="22"/>
    </row>
    <row r="159" ht="15.75" customHeight="1">
      <c r="A159" s="2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22"/>
      <c r="AO159" s="22"/>
      <c r="AP159" s="22"/>
    </row>
    <row r="160" ht="15.75" customHeight="1">
      <c r="A160" s="2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22"/>
      <c r="AO160" s="22"/>
      <c r="AP160" s="22"/>
    </row>
    <row r="161" ht="15.75" customHeight="1">
      <c r="A161" s="2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22"/>
      <c r="AO161" s="22"/>
      <c r="AP161" s="22"/>
    </row>
    <row r="162" ht="15.75" customHeight="1">
      <c r="A162" s="2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22"/>
      <c r="AO162" s="22"/>
      <c r="AP162" s="22"/>
    </row>
    <row r="163" ht="15.75" customHeight="1">
      <c r="A163" s="2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22"/>
      <c r="AO163" s="22"/>
      <c r="AP163" s="22"/>
    </row>
    <row r="164" ht="15.75" customHeight="1">
      <c r="A164" s="2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22"/>
      <c r="AO164" s="22"/>
      <c r="AP164" s="22"/>
    </row>
    <row r="165" ht="15.75" customHeight="1">
      <c r="A165" s="2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22"/>
      <c r="AO165" s="22"/>
      <c r="AP165" s="22"/>
    </row>
    <row r="166" ht="15.75" customHeight="1">
      <c r="A166" s="2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22"/>
      <c r="AO166" s="22"/>
      <c r="AP166" s="22"/>
    </row>
    <row r="167" ht="15.75" customHeight="1">
      <c r="A167" s="2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22"/>
      <c r="AO167" s="22"/>
      <c r="AP167" s="22"/>
    </row>
    <row r="168" ht="15.75" customHeight="1">
      <c r="A168" s="2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22"/>
      <c r="AO168" s="22"/>
      <c r="AP168" s="22"/>
    </row>
    <row r="169" ht="15.75" customHeight="1">
      <c r="A169" s="2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22"/>
      <c r="AO169" s="22"/>
      <c r="AP169" s="22"/>
    </row>
    <row r="170" ht="15.75" customHeight="1">
      <c r="A170" s="2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22"/>
      <c r="AO170" s="22"/>
      <c r="AP170" s="22"/>
    </row>
    <row r="171" ht="15.75" customHeight="1">
      <c r="A171" s="2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22"/>
      <c r="AO171" s="22"/>
      <c r="AP171" s="22"/>
    </row>
    <row r="172" ht="15.75" customHeight="1">
      <c r="A172" s="2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22"/>
      <c r="AO172" s="22"/>
      <c r="AP172" s="22"/>
    </row>
    <row r="173" ht="15.75" customHeight="1">
      <c r="A173" s="2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22"/>
      <c r="AO173" s="22"/>
      <c r="AP173" s="22"/>
    </row>
    <row r="174" ht="15.75" customHeight="1">
      <c r="A174" s="2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22"/>
      <c r="AO174" s="22"/>
      <c r="AP174" s="22"/>
    </row>
    <row r="175" ht="15.75" customHeight="1">
      <c r="A175" s="2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22"/>
      <c r="AO175" s="22"/>
      <c r="AP175" s="22"/>
    </row>
    <row r="176" ht="15.75" customHeight="1">
      <c r="A176" s="2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22"/>
      <c r="AO176" s="22"/>
      <c r="AP176" s="22"/>
    </row>
    <row r="177" ht="15.75" customHeight="1">
      <c r="A177" s="2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22"/>
      <c r="AO177" s="22"/>
      <c r="AP177" s="22"/>
    </row>
    <row r="178" ht="15.75" customHeight="1">
      <c r="A178" s="2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22"/>
      <c r="AO178" s="22"/>
      <c r="AP178" s="22"/>
    </row>
    <row r="179" ht="15.75" customHeight="1">
      <c r="A179" s="2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22"/>
      <c r="AO179" s="22"/>
      <c r="AP179" s="22"/>
    </row>
    <row r="180" ht="15.75" customHeight="1">
      <c r="A180" s="2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22"/>
      <c r="AO180" s="22"/>
      <c r="AP180" s="22"/>
    </row>
    <row r="181" ht="15.75" customHeight="1">
      <c r="A181" s="2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22"/>
      <c r="AO181" s="22"/>
      <c r="AP181" s="22"/>
    </row>
    <row r="182" ht="15.75" customHeight="1">
      <c r="A182" s="2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22"/>
      <c r="AO182" s="22"/>
      <c r="AP182" s="22"/>
    </row>
    <row r="183" ht="15.75" customHeight="1">
      <c r="A183" s="2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22"/>
      <c r="AO183" s="22"/>
      <c r="AP183" s="22"/>
    </row>
    <row r="184" ht="15.75" customHeight="1">
      <c r="A184" s="2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22"/>
      <c r="AO184" s="22"/>
      <c r="AP184" s="22"/>
    </row>
    <row r="185" ht="15.75" customHeight="1">
      <c r="A185" s="2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22"/>
      <c r="AO185" s="22"/>
      <c r="AP185" s="22"/>
    </row>
    <row r="186" ht="15.75" customHeight="1">
      <c r="A186" s="2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22"/>
      <c r="AO186" s="22"/>
      <c r="AP186" s="22"/>
    </row>
    <row r="187" ht="15.75" customHeight="1">
      <c r="A187" s="2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22"/>
      <c r="AO187" s="22"/>
      <c r="AP187" s="22"/>
    </row>
    <row r="188" ht="15.75" customHeight="1">
      <c r="A188" s="2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22"/>
      <c r="AO188" s="22"/>
      <c r="AP188" s="22"/>
    </row>
    <row r="189" ht="15.75" customHeight="1">
      <c r="A189" s="2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22"/>
      <c r="AO189" s="22"/>
      <c r="AP189" s="22"/>
    </row>
    <row r="190" ht="15.75" customHeight="1">
      <c r="A190" s="2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22"/>
      <c r="AO190" s="22"/>
      <c r="AP190" s="22"/>
    </row>
    <row r="191" ht="15.75" customHeight="1">
      <c r="A191" s="2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22"/>
      <c r="AO191" s="22"/>
      <c r="AP191" s="22"/>
    </row>
    <row r="192" ht="15.75" customHeight="1">
      <c r="A192" s="2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22"/>
      <c r="AO192" s="22"/>
      <c r="AP192" s="22"/>
    </row>
    <row r="193" ht="15.75" customHeight="1">
      <c r="A193" s="2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22"/>
      <c r="AO193" s="22"/>
      <c r="AP193" s="22"/>
    </row>
    <row r="194" ht="15.75" customHeight="1">
      <c r="A194" s="2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22"/>
      <c r="AO194" s="22"/>
      <c r="AP194" s="22"/>
    </row>
    <row r="195" ht="15.75" customHeight="1">
      <c r="A195" s="2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22"/>
      <c r="AO195" s="22"/>
      <c r="AP195" s="22"/>
    </row>
    <row r="196" ht="15.75" customHeight="1">
      <c r="A196" s="2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22"/>
      <c r="AO196" s="22"/>
      <c r="AP196" s="22"/>
    </row>
    <row r="197" ht="15.75" customHeight="1">
      <c r="A197" s="2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22"/>
      <c r="AO197" s="22"/>
      <c r="AP197" s="22"/>
    </row>
    <row r="198" ht="15.75" customHeight="1">
      <c r="A198" s="2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22"/>
      <c r="AO198" s="22"/>
      <c r="AP198" s="22"/>
    </row>
    <row r="199" ht="15.75" customHeight="1">
      <c r="A199" s="2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22"/>
      <c r="AO199" s="22"/>
      <c r="AP199" s="22"/>
    </row>
    <row r="200" ht="15.75" customHeight="1">
      <c r="A200" s="2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22"/>
      <c r="AO200" s="22"/>
      <c r="AP200" s="22"/>
    </row>
    <row r="201" ht="15.75" customHeight="1">
      <c r="A201" s="2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22"/>
      <c r="AO201" s="22"/>
      <c r="AP201" s="22"/>
    </row>
    <row r="202" ht="15.75" customHeight="1">
      <c r="A202" s="2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22"/>
      <c r="AO202" s="22"/>
      <c r="AP202" s="22"/>
    </row>
    <row r="203" ht="15.75" customHeight="1">
      <c r="A203" s="2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22"/>
      <c r="AO203" s="22"/>
      <c r="AP203" s="22"/>
    </row>
    <row r="204" ht="15.75" customHeight="1">
      <c r="A204" s="2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22"/>
      <c r="AO204" s="22"/>
      <c r="AP204" s="22"/>
    </row>
    <row r="205" ht="15.75" customHeight="1">
      <c r="A205" s="2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22"/>
      <c r="AO205" s="22"/>
      <c r="AP205" s="22"/>
    </row>
    <row r="206" ht="15.75" customHeight="1">
      <c r="A206" s="2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22"/>
      <c r="AO206" s="22"/>
      <c r="AP206" s="22"/>
    </row>
    <row r="207" ht="15.75" customHeight="1">
      <c r="A207" s="2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22"/>
      <c r="AO207" s="22"/>
      <c r="AP207" s="22"/>
    </row>
    <row r="208" ht="15.75" customHeight="1">
      <c r="A208" s="2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22"/>
      <c r="AO208" s="22"/>
      <c r="AP208" s="22"/>
    </row>
    <row r="209" ht="15.75" customHeight="1">
      <c r="A209" s="2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22"/>
      <c r="AO209" s="22"/>
      <c r="AP209" s="22"/>
    </row>
    <row r="210" ht="15.75" customHeight="1">
      <c r="A210" s="2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22"/>
      <c r="AO210" s="22"/>
      <c r="AP210" s="22"/>
    </row>
    <row r="211" ht="15.75" customHeight="1">
      <c r="A211" s="2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22"/>
      <c r="AO211" s="22"/>
      <c r="AP211" s="22"/>
    </row>
    <row r="212" ht="15.75" customHeight="1">
      <c r="A212" s="2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22"/>
      <c r="AO212" s="22"/>
      <c r="AP212" s="22"/>
    </row>
    <row r="213" ht="15.75" customHeight="1">
      <c r="A213" s="2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22"/>
      <c r="AO213" s="22"/>
      <c r="AP213" s="22"/>
    </row>
    <row r="214" ht="15.75" customHeight="1">
      <c r="A214" s="2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22"/>
      <c r="AO214" s="22"/>
      <c r="AP214" s="22"/>
    </row>
    <row r="215" ht="15.75" customHeight="1">
      <c r="A215" s="2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22"/>
      <c r="AO215" s="22"/>
      <c r="AP215" s="22"/>
    </row>
    <row r="216" ht="15.75" customHeight="1">
      <c r="A216" s="2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22"/>
      <c r="AO216" s="22"/>
      <c r="AP216" s="22"/>
    </row>
    <row r="217" ht="15.75" customHeight="1">
      <c r="A217" s="2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22"/>
      <c r="AO217" s="22"/>
      <c r="AP217" s="22"/>
    </row>
    <row r="218" ht="15.75" customHeight="1">
      <c r="A218" s="2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22"/>
      <c r="AO218" s="22"/>
      <c r="AP218" s="22"/>
    </row>
    <row r="219" ht="15.75" customHeight="1">
      <c r="A219" s="2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22"/>
      <c r="AO219" s="22"/>
      <c r="AP219" s="22"/>
    </row>
    <row r="220" ht="15.75" customHeight="1">
      <c r="A220" s="2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22"/>
      <c r="AO220" s="22"/>
      <c r="AP220" s="22"/>
    </row>
    <row r="221" ht="15.75" customHeight="1">
      <c r="A221" s="2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22"/>
      <c r="AO221" s="22"/>
      <c r="AP221" s="22"/>
    </row>
    <row r="222" ht="15.75" customHeight="1">
      <c r="A222" s="2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22"/>
      <c r="AO222" s="22"/>
      <c r="AP222" s="22"/>
    </row>
    <row r="223" ht="15.75" customHeight="1">
      <c r="A223" s="2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22"/>
      <c r="AO223" s="22"/>
      <c r="AP223" s="22"/>
    </row>
    <row r="224" ht="15.75" customHeight="1">
      <c r="A224" s="2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22"/>
      <c r="AO224" s="22"/>
      <c r="AP224" s="22"/>
    </row>
    <row r="225" ht="15.75" customHeight="1">
      <c r="A225" s="2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22"/>
      <c r="AO225" s="22"/>
      <c r="AP225" s="22"/>
    </row>
    <row r="226" ht="15.75" customHeight="1">
      <c r="A226" s="2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22"/>
      <c r="AO226" s="22"/>
      <c r="AP226" s="22"/>
    </row>
    <row r="227" ht="15.75" customHeight="1">
      <c r="A227" s="2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22"/>
      <c r="AO227" s="22"/>
      <c r="AP227" s="22"/>
    </row>
    <row r="228" ht="15.75" customHeight="1">
      <c r="A228" s="2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22"/>
      <c r="AO228" s="22"/>
      <c r="AP228" s="22"/>
    </row>
    <row r="229" ht="15.75" customHeight="1">
      <c r="A229" s="2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22"/>
      <c r="AO229" s="22"/>
      <c r="AP229" s="22"/>
    </row>
    <row r="230" ht="15.75" customHeight="1">
      <c r="A230" s="2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22"/>
      <c r="AO230" s="22"/>
      <c r="AP230" s="22"/>
    </row>
    <row r="231" ht="15.75" customHeight="1">
      <c r="A231" s="2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22"/>
      <c r="AO231" s="22"/>
      <c r="AP231" s="22"/>
    </row>
    <row r="232" ht="15.75" customHeight="1">
      <c r="A232" s="2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22"/>
      <c r="AO232" s="22"/>
      <c r="AP232" s="22"/>
    </row>
    <row r="233" ht="15.75" customHeight="1">
      <c r="A233" s="2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22"/>
      <c r="AO233" s="22"/>
      <c r="AP233" s="22"/>
    </row>
    <row r="234" ht="15.75" customHeight="1">
      <c r="A234" s="2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22"/>
      <c r="AO234" s="22"/>
      <c r="AP234" s="22"/>
    </row>
    <row r="235" ht="15.75" customHeight="1">
      <c r="A235" s="2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22"/>
      <c r="AO235" s="22"/>
      <c r="AP235" s="22"/>
    </row>
    <row r="236" ht="15.75" customHeight="1">
      <c r="A236" s="2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22"/>
      <c r="AO236" s="22"/>
      <c r="AP236" s="22"/>
    </row>
    <row r="237" ht="15.75" customHeight="1">
      <c r="A237" s="2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22"/>
      <c r="AO237" s="22"/>
      <c r="AP237" s="22"/>
    </row>
    <row r="238" ht="15.75" customHeight="1">
      <c r="A238" s="2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22"/>
      <c r="AO238" s="22"/>
      <c r="AP238" s="22"/>
    </row>
    <row r="239" ht="15.75" customHeight="1">
      <c r="A239" s="2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22"/>
      <c r="AO239" s="22"/>
      <c r="AP239" s="22"/>
    </row>
    <row r="240" ht="15.75" customHeight="1">
      <c r="A240" s="2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22"/>
      <c r="AO240" s="22"/>
      <c r="AP240" s="22"/>
    </row>
    <row r="241" ht="15.75" customHeight="1">
      <c r="A241" s="2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22"/>
      <c r="AO241" s="22"/>
      <c r="AP241" s="22"/>
    </row>
    <row r="242" ht="15.75" customHeight="1">
      <c r="A242" s="2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22"/>
      <c r="AO242" s="22"/>
      <c r="AP242" s="22"/>
    </row>
    <row r="243" ht="15.75" customHeight="1">
      <c r="A243" s="2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22"/>
      <c r="AO243" s="22"/>
      <c r="AP243" s="22"/>
    </row>
    <row r="244" ht="15.75" customHeight="1">
      <c r="A244" s="2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22"/>
      <c r="AO244" s="22"/>
      <c r="AP244" s="22"/>
    </row>
    <row r="245" ht="15.75" customHeight="1">
      <c r="A245" s="2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22"/>
      <c r="AO245" s="22"/>
      <c r="AP245" s="22"/>
    </row>
    <row r="246" ht="15.75" customHeight="1">
      <c r="A246" s="2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22"/>
      <c r="AO246" s="22"/>
      <c r="AP246" s="22"/>
    </row>
    <row r="247" ht="15.75" customHeight="1">
      <c r="A247" s="2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22"/>
      <c r="AO247" s="22"/>
      <c r="AP247" s="22"/>
    </row>
    <row r="248" ht="15.75" customHeight="1">
      <c r="A248" s="2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22"/>
      <c r="AO248" s="22"/>
      <c r="AP248" s="22"/>
    </row>
    <row r="249" ht="15.75" customHeight="1">
      <c r="A249" s="2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22"/>
      <c r="AO249" s="22"/>
      <c r="AP249" s="22"/>
    </row>
    <row r="250" ht="15.75" customHeight="1">
      <c r="A250" s="2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22"/>
      <c r="AO250" s="22"/>
      <c r="AP250" s="22"/>
    </row>
    <row r="251" ht="15.75" customHeight="1">
      <c r="A251" s="2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22"/>
      <c r="AO251" s="22"/>
      <c r="AP251" s="22"/>
    </row>
    <row r="252" ht="15.75" customHeight="1">
      <c r="A252" s="2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22"/>
      <c r="AO252" s="22"/>
      <c r="AP252" s="22"/>
    </row>
    <row r="253" ht="15.75" customHeight="1">
      <c r="A253" s="2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22"/>
      <c r="AO253" s="22"/>
      <c r="AP253" s="22"/>
    </row>
    <row r="254" ht="15.75" customHeight="1">
      <c r="A254" s="2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22"/>
      <c r="AO254" s="22"/>
      <c r="AP254" s="22"/>
    </row>
    <row r="255" ht="15.75" customHeight="1">
      <c r="A255" s="2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22"/>
      <c r="AO255" s="22"/>
      <c r="AP255" s="22"/>
    </row>
    <row r="256" ht="15.75" customHeight="1">
      <c r="A256" s="2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22"/>
      <c r="AO256" s="22"/>
      <c r="AP256" s="22"/>
    </row>
    <row r="257" ht="15.75" customHeight="1">
      <c r="A257" s="2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22"/>
      <c r="AO257" s="22"/>
      <c r="AP257" s="22"/>
    </row>
    <row r="258" ht="15.75" customHeight="1">
      <c r="A258" s="2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22"/>
      <c r="AO258" s="22"/>
      <c r="AP258" s="22"/>
    </row>
    <row r="259" ht="15.75" customHeight="1">
      <c r="A259" s="2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22"/>
      <c r="AO259" s="22"/>
      <c r="AP259" s="22"/>
    </row>
    <row r="260" ht="15.75" customHeight="1">
      <c r="A260" s="2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22"/>
      <c r="AO260" s="22"/>
      <c r="AP260" s="22"/>
    </row>
    <row r="261" ht="15.75" customHeight="1">
      <c r="A261" s="2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22"/>
      <c r="AO261" s="22"/>
      <c r="AP261" s="22"/>
    </row>
    <row r="262" ht="15.75" customHeight="1">
      <c r="A262" s="2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22"/>
      <c r="AO262" s="22"/>
      <c r="AP262" s="22"/>
    </row>
    <row r="263" ht="15.75" customHeight="1">
      <c r="A263" s="2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22"/>
      <c r="AO263" s="22"/>
      <c r="AP263" s="22"/>
    </row>
    <row r="264" ht="15.75" customHeight="1">
      <c r="A264" s="2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22"/>
      <c r="AO264" s="22"/>
      <c r="AP264" s="22"/>
    </row>
    <row r="265" ht="15.75" customHeight="1">
      <c r="A265" s="2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22"/>
      <c r="AO265" s="22"/>
      <c r="AP265" s="22"/>
    </row>
    <row r="266" ht="15.75" customHeight="1">
      <c r="A266" s="2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22"/>
      <c r="AO266" s="22"/>
      <c r="AP266" s="22"/>
    </row>
    <row r="267" ht="15.75" customHeight="1">
      <c r="A267" s="2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22"/>
      <c r="AO267" s="22"/>
      <c r="AP267" s="22"/>
    </row>
    <row r="268" ht="15.75" customHeight="1">
      <c r="A268" s="2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22"/>
      <c r="AO268" s="22"/>
      <c r="AP268" s="22"/>
    </row>
    <row r="269" ht="15.75" customHeight="1">
      <c r="A269" s="2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22"/>
      <c r="AO269" s="22"/>
      <c r="AP269" s="22"/>
    </row>
    <row r="270" ht="15.75" customHeight="1">
      <c r="A270" s="2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22"/>
      <c r="AO270" s="22"/>
      <c r="AP270" s="22"/>
    </row>
    <row r="271" ht="15.75" customHeight="1">
      <c r="A271" s="2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22"/>
      <c r="AO271" s="22"/>
      <c r="AP271" s="22"/>
    </row>
    <row r="272" ht="15.75" customHeight="1">
      <c r="A272" s="2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22"/>
      <c r="AO272" s="22"/>
      <c r="AP272" s="22"/>
    </row>
    <row r="273" ht="15.75" customHeight="1">
      <c r="A273" s="2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22"/>
      <c r="AO273" s="22"/>
      <c r="AP273" s="22"/>
    </row>
    <row r="274" ht="15.75" customHeight="1">
      <c r="A274" s="2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22"/>
      <c r="AO274" s="22"/>
      <c r="AP274" s="22"/>
    </row>
    <row r="275" ht="15.75" customHeight="1">
      <c r="A275" s="2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22"/>
      <c r="AO275" s="22"/>
      <c r="AP275" s="22"/>
    </row>
    <row r="276" ht="15.75" customHeight="1">
      <c r="A276" s="2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22"/>
      <c r="AO276" s="22"/>
      <c r="AP276" s="22"/>
    </row>
    <row r="277" ht="15.75" customHeight="1">
      <c r="A277" s="2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22"/>
      <c r="AO277" s="22"/>
      <c r="AP277" s="22"/>
    </row>
    <row r="278" ht="15.75" customHeight="1">
      <c r="A278" s="2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22"/>
      <c r="AO278" s="22"/>
      <c r="AP278" s="22"/>
    </row>
    <row r="279" ht="15.75" customHeight="1">
      <c r="A279" s="2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22"/>
      <c r="AO279" s="22"/>
      <c r="AP279" s="22"/>
    </row>
    <row r="280" ht="15.75" customHeight="1">
      <c r="A280" s="2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22"/>
      <c r="AO280" s="22"/>
      <c r="AP280" s="22"/>
    </row>
    <row r="281" ht="15.75" customHeight="1">
      <c r="A281" s="2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22"/>
      <c r="AO281" s="22"/>
      <c r="AP281" s="22"/>
    </row>
    <row r="282" ht="15.75" customHeight="1">
      <c r="A282" s="2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22"/>
      <c r="AO282" s="22"/>
      <c r="AP282" s="22"/>
    </row>
    <row r="283" ht="15.75" customHeight="1">
      <c r="A283" s="2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22"/>
      <c r="AO283" s="22"/>
      <c r="AP283" s="22"/>
    </row>
    <row r="284" ht="15.75" customHeight="1">
      <c r="A284" s="2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22"/>
      <c r="AO284" s="22"/>
      <c r="AP284" s="22"/>
    </row>
    <row r="285" ht="15.75" customHeight="1">
      <c r="A285" s="2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22"/>
      <c r="AO285" s="22"/>
      <c r="AP285" s="22"/>
    </row>
    <row r="286" ht="15.75" customHeight="1">
      <c r="A286" s="2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22"/>
      <c r="AO286" s="22"/>
      <c r="AP286" s="22"/>
    </row>
    <row r="287" ht="15.75" customHeight="1">
      <c r="A287" s="2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22"/>
      <c r="AO287" s="22"/>
      <c r="AP287" s="22"/>
    </row>
    <row r="288" ht="15.75" customHeight="1">
      <c r="A288" s="2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22"/>
      <c r="AO288" s="22"/>
      <c r="AP288" s="22"/>
    </row>
    <row r="289" ht="15.75" customHeight="1">
      <c r="A289" s="2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22"/>
      <c r="AO289" s="22"/>
      <c r="AP289" s="22"/>
    </row>
    <row r="290" ht="15.75" customHeight="1">
      <c r="A290" s="2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22"/>
      <c r="AO290" s="22"/>
      <c r="AP290" s="22"/>
    </row>
    <row r="291" ht="15.75" customHeight="1">
      <c r="A291" s="2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22"/>
      <c r="AO291" s="22"/>
      <c r="AP291" s="22"/>
    </row>
    <row r="292" ht="15.75" customHeight="1">
      <c r="A292" s="2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22"/>
      <c r="AO292" s="22"/>
      <c r="AP292" s="22"/>
    </row>
    <row r="293" ht="15.75" customHeight="1">
      <c r="A293" s="2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22"/>
      <c r="AO293" s="22"/>
      <c r="AP293" s="22"/>
    </row>
    <row r="294" ht="15.75" customHeight="1">
      <c r="A294" s="2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22"/>
      <c r="AO294" s="22"/>
      <c r="AP294" s="22"/>
    </row>
    <row r="295" ht="15.75" customHeight="1">
      <c r="A295" s="2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22"/>
      <c r="AO295" s="22"/>
      <c r="AP295" s="22"/>
    </row>
    <row r="296" ht="15.75" customHeight="1">
      <c r="A296" s="2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22"/>
      <c r="AO296" s="22"/>
      <c r="AP296" s="22"/>
    </row>
    <row r="297" ht="15.75" customHeight="1">
      <c r="A297" s="2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22"/>
      <c r="AO297" s="22"/>
      <c r="AP297" s="22"/>
    </row>
    <row r="298" ht="15.75" customHeight="1">
      <c r="A298" s="2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22"/>
      <c r="AO298" s="22"/>
      <c r="AP298" s="22"/>
    </row>
    <row r="299" ht="15.75" customHeight="1">
      <c r="A299" s="2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22"/>
      <c r="AO299" s="22"/>
      <c r="AP299" s="22"/>
    </row>
    <row r="300" ht="15.75" customHeight="1">
      <c r="A300" s="2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22"/>
      <c r="AO300" s="22"/>
      <c r="AP300" s="22"/>
    </row>
    <row r="301" ht="15.75" customHeight="1">
      <c r="A301" s="2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22"/>
      <c r="AO301" s="22"/>
      <c r="AP301" s="22"/>
    </row>
    <row r="302" ht="15.75" customHeight="1">
      <c r="A302" s="2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22"/>
      <c r="AO302" s="22"/>
      <c r="AP302" s="22"/>
    </row>
    <row r="303" ht="15.75" customHeight="1">
      <c r="A303" s="2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22"/>
      <c r="AO303" s="22"/>
      <c r="AP303" s="22"/>
    </row>
    <row r="304" ht="15.75" customHeight="1">
      <c r="A304" s="2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22"/>
      <c r="AO304" s="22"/>
      <c r="AP304" s="22"/>
    </row>
    <row r="305" ht="15.75" customHeight="1">
      <c r="A305" s="2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22"/>
      <c r="AO305" s="22"/>
      <c r="AP305" s="22"/>
    </row>
    <row r="306" ht="15.75" customHeight="1">
      <c r="A306" s="2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22"/>
      <c r="AO306" s="22"/>
      <c r="AP306" s="22"/>
    </row>
    <row r="307" ht="15.75" customHeight="1">
      <c r="A307" s="2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22"/>
      <c r="AO307" s="22"/>
      <c r="AP307" s="22"/>
    </row>
    <row r="308" ht="15.75" customHeight="1">
      <c r="A308" s="2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22"/>
      <c r="AO308" s="22"/>
      <c r="AP308" s="22"/>
    </row>
    <row r="309" ht="15.75" customHeight="1">
      <c r="A309" s="2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22"/>
      <c r="AO309" s="22"/>
      <c r="AP309" s="22"/>
    </row>
    <row r="310" ht="15.75" customHeight="1">
      <c r="A310" s="2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22"/>
      <c r="AO310" s="22"/>
      <c r="AP310" s="22"/>
    </row>
    <row r="311" ht="15.75" customHeight="1">
      <c r="A311" s="2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22"/>
      <c r="AO311" s="22"/>
      <c r="AP311" s="22"/>
    </row>
    <row r="312" ht="15.75" customHeight="1">
      <c r="A312" s="2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22"/>
      <c r="AO312" s="22"/>
      <c r="AP312" s="22"/>
    </row>
    <row r="313" ht="15.75" customHeight="1">
      <c r="A313" s="2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22"/>
      <c r="AO313" s="22"/>
      <c r="AP313" s="22"/>
    </row>
    <row r="314" ht="15.75" customHeight="1">
      <c r="A314" s="2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22"/>
      <c r="AO314" s="22"/>
      <c r="AP314" s="22"/>
    </row>
    <row r="315" ht="15.75" customHeight="1">
      <c r="A315" s="2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22"/>
      <c r="AO315" s="22"/>
      <c r="AP315" s="22"/>
    </row>
    <row r="316" ht="15.75" customHeight="1">
      <c r="A316" s="2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22"/>
      <c r="AO316" s="22"/>
      <c r="AP316" s="22"/>
    </row>
    <row r="317" ht="15.75" customHeight="1">
      <c r="A317" s="2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22"/>
      <c r="AO317" s="22"/>
      <c r="AP317" s="22"/>
    </row>
    <row r="318" ht="15.75" customHeight="1">
      <c r="A318" s="2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22"/>
      <c r="AO318" s="22"/>
      <c r="AP318" s="22"/>
    </row>
    <row r="319" ht="15.75" customHeight="1">
      <c r="A319" s="2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22"/>
      <c r="AO319" s="22"/>
      <c r="AP319" s="22"/>
    </row>
    <row r="320" ht="15.75" customHeight="1">
      <c r="A320" s="2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22"/>
      <c r="AO320" s="22"/>
      <c r="AP320" s="22"/>
    </row>
    <row r="321" ht="15.75" customHeight="1">
      <c r="A321" s="2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22"/>
      <c r="AO321" s="22"/>
      <c r="AP321" s="22"/>
    </row>
    <row r="322" ht="15.75" customHeight="1">
      <c r="A322" s="2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22"/>
      <c r="AO322" s="22"/>
      <c r="AP322" s="22"/>
    </row>
    <row r="323" ht="15.75" customHeight="1">
      <c r="A323" s="2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22"/>
      <c r="AO323" s="22"/>
      <c r="AP323" s="22"/>
    </row>
    <row r="324" ht="15.75" customHeight="1">
      <c r="A324" s="2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22"/>
      <c r="AO324" s="22"/>
      <c r="AP324" s="22"/>
    </row>
    <row r="325" ht="15.75" customHeight="1">
      <c r="A325" s="2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22"/>
      <c r="AO325" s="22"/>
      <c r="AP325" s="22"/>
    </row>
    <row r="326" ht="15.75" customHeight="1">
      <c r="A326" s="2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22"/>
      <c r="AO326" s="22"/>
      <c r="AP326" s="22"/>
    </row>
    <row r="327" ht="15.75" customHeight="1">
      <c r="A327" s="2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22"/>
      <c r="AO327" s="22"/>
      <c r="AP327" s="22"/>
    </row>
    <row r="328" ht="15.75" customHeight="1">
      <c r="A328" s="2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22"/>
      <c r="AO328" s="22"/>
      <c r="AP328" s="22"/>
    </row>
    <row r="329" ht="15.75" customHeight="1">
      <c r="A329" s="2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22"/>
      <c r="AO329" s="22"/>
      <c r="AP329" s="22"/>
    </row>
    <row r="330" ht="15.75" customHeight="1">
      <c r="A330" s="2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22"/>
      <c r="AO330" s="22"/>
      <c r="AP330" s="22"/>
    </row>
    <row r="331" ht="15.75" customHeight="1">
      <c r="A331" s="2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22"/>
      <c r="AO331" s="22"/>
      <c r="AP331" s="22"/>
    </row>
    <row r="332" ht="15.75" customHeight="1">
      <c r="A332" s="2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22"/>
      <c r="AO332" s="22"/>
      <c r="AP332" s="22"/>
    </row>
    <row r="333" ht="15.75" customHeight="1">
      <c r="A333" s="2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22"/>
      <c r="AO333" s="22"/>
      <c r="AP333" s="22"/>
    </row>
    <row r="334" ht="15.75" customHeight="1">
      <c r="A334" s="2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22"/>
      <c r="AO334" s="22"/>
      <c r="AP334" s="22"/>
    </row>
    <row r="335" ht="15.75" customHeight="1">
      <c r="A335" s="2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22"/>
      <c r="AO335" s="22"/>
      <c r="AP335" s="22"/>
    </row>
    <row r="336" ht="15.75" customHeight="1">
      <c r="A336" s="2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22"/>
      <c r="AO336" s="22"/>
      <c r="AP336" s="22"/>
    </row>
    <row r="337" ht="15.75" customHeight="1">
      <c r="A337" s="2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22"/>
      <c r="AO337" s="22"/>
      <c r="AP337" s="22"/>
    </row>
    <row r="338" ht="15.75" customHeight="1">
      <c r="A338" s="2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22"/>
      <c r="AO338" s="22"/>
      <c r="AP338" s="22"/>
    </row>
    <row r="339" ht="15.75" customHeight="1">
      <c r="A339" s="2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22"/>
      <c r="AO339" s="22"/>
      <c r="AP339" s="22"/>
    </row>
    <row r="340" ht="15.75" customHeight="1">
      <c r="A340" s="2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22"/>
      <c r="AO340" s="22"/>
      <c r="AP340" s="22"/>
    </row>
    <row r="341" ht="15.75" customHeight="1">
      <c r="A341" s="2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22"/>
      <c r="AO341" s="22"/>
      <c r="AP341" s="22"/>
    </row>
    <row r="342" ht="15.75" customHeight="1">
      <c r="A342" s="2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22"/>
      <c r="AO342" s="22"/>
      <c r="AP342" s="22"/>
    </row>
    <row r="343" ht="15.75" customHeight="1">
      <c r="A343" s="2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22"/>
      <c r="AO343" s="22"/>
      <c r="AP343" s="22"/>
    </row>
    <row r="344" ht="15.75" customHeight="1">
      <c r="A344" s="2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22"/>
      <c r="AO344" s="22"/>
      <c r="AP344" s="22"/>
    </row>
    <row r="345" ht="15.75" customHeight="1">
      <c r="A345" s="2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22"/>
      <c r="AO345" s="22"/>
      <c r="AP345" s="22"/>
    </row>
    <row r="346" ht="15.75" customHeight="1">
      <c r="A346" s="2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22"/>
      <c r="AO346" s="22"/>
      <c r="AP346" s="22"/>
    </row>
    <row r="347" ht="15.75" customHeight="1">
      <c r="A347" s="2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22"/>
      <c r="AO347" s="22"/>
      <c r="AP347" s="22"/>
    </row>
    <row r="348" ht="15.75" customHeight="1">
      <c r="A348" s="2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22"/>
      <c r="AO348" s="22"/>
      <c r="AP348" s="22"/>
    </row>
    <row r="349" ht="15.75" customHeight="1">
      <c r="A349" s="2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22"/>
      <c r="AO349" s="22"/>
      <c r="AP349" s="22"/>
    </row>
    <row r="350" ht="15.75" customHeight="1">
      <c r="A350" s="2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22"/>
      <c r="AO350" s="22"/>
      <c r="AP350" s="22"/>
    </row>
    <row r="351" ht="15.75" customHeight="1">
      <c r="A351" s="2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22"/>
      <c r="AO351" s="22"/>
      <c r="AP351" s="22"/>
    </row>
    <row r="352" ht="15.75" customHeight="1">
      <c r="A352" s="2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22"/>
      <c r="AO352" s="22"/>
      <c r="AP352" s="22"/>
    </row>
    <row r="353" ht="15.75" customHeight="1">
      <c r="A353" s="2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22"/>
      <c r="AO353" s="22"/>
      <c r="AP353" s="22"/>
    </row>
    <row r="354" ht="15.75" customHeight="1">
      <c r="A354" s="2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22"/>
      <c r="AO354" s="22"/>
      <c r="AP354" s="22"/>
    </row>
    <row r="355" ht="15.75" customHeight="1">
      <c r="A355" s="2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22"/>
      <c r="AO355" s="22"/>
      <c r="AP355" s="22"/>
    </row>
    <row r="356" ht="15.75" customHeight="1">
      <c r="A356" s="2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22"/>
      <c r="AO356" s="22"/>
      <c r="AP356" s="22"/>
    </row>
    <row r="357" ht="15.75" customHeight="1">
      <c r="A357" s="2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22"/>
      <c r="AO357" s="22"/>
      <c r="AP357" s="22"/>
    </row>
    <row r="358" ht="15.75" customHeight="1">
      <c r="A358" s="2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22"/>
      <c r="AO358" s="22"/>
      <c r="AP358" s="22"/>
    </row>
    <row r="359" ht="15.75" customHeight="1">
      <c r="A359" s="2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22"/>
      <c r="AO359" s="22"/>
      <c r="AP359" s="22"/>
    </row>
    <row r="360" ht="15.75" customHeight="1">
      <c r="A360" s="2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22"/>
      <c r="AO360" s="22"/>
      <c r="AP360" s="22"/>
    </row>
    <row r="361" ht="15.75" customHeight="1">
      <c r="A361" s="2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22"/>
      <c r="AO361" s="22"/>
      <c r="AP361" s="22"/>
    </row>
    <row r="362" ht="15.75" customHeight="1">
      <c r="A362" s="2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22"/>
      <c r="AO362" s="22"/>
      <c r="AP362" s="22"/>
    </row>
    <row r="363" ht="15.75" customHeight="1">
      <c r="A363" s="2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22"/>
      <c r="AO363" s="22"/>
      <c r="AP363" s="22"/>
    </row>
    <row r="364" ht="15.75" customHeight="1">
      <c r="A364" s="2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22"/>
      <c r="AO364" s="22"/>
      <c r="AP364" s="22"/>
    </row>
    <row r="365" ht="15.75" customHeight="1">
      <c r="A365" s="2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22"/>
      <c r="AO365" s="22"/>
      <c r="AP365" s="22"/>
    </row>
    <row r="366" ht="15.75" customHeight="1">
      <c r="A366" s="2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22"/>
      <c r="AO366" s="22"/>
      <c r="AP366" s="22"/>
    </row>
    <row r="367" ht="15.75" customHeight="1">
      <c r="A367" s="2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22"/>
      <c r="AO367" s="22"/>
      <c r="AP367" s="22"/>
    </row>
    <row r="368" ht="15.75" customHeight="1">
      <c r="A368" s="2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22"/>
      <c r="AO368" s="22"/>
      <c r="AP368" s="22"/>
    </row>
    <row r="369" ht="15.75" customHeight="1">
      <c r="A369" s="2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22"/>
      <c r="AO369" s="22"/>
      <c r="AP369" s="22"/>
    </row>
    <row r="370" ht="15.75" customHeight="1">
      <c r="A370" s="2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22"/>
      <c r="AO370" s="22"/>
      <c r="AP370" s="22"/>
    </row>
    <row r="371" ht="15.75" customHeight="1">
      <c r="A371" s="2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22"/>
      <c r="AO371" s="22"/>
      <c r="AP371" s="22"/>
    </row>
    <row r="372" ht="15.75" customHeight="1">
      <c r="A372" s="2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22"/>
      <c r="AO372" s="22"/>
      <c r="AP372" s="22"/>
    </row>
    <row r="373" ht="15.75" customHeight="1">
      <c r="A373" s="2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22"/>
      <c r="AO373" s="22"/>
      <c r="AP373" s="22"/>
    </row>
    <row r="374" ht="15.75" customHeight="1">
      <c r="A374" s="2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22"/>
      <c r="AO374" s="22"/>
      <c r="AP374" s="22"/>
    </row>
    <row r="375" ht="15.75" customHeight="1">
      <c r="A375" s="2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22"/>
      <c r="AO375" s="22"/>
      <c r="AP375" s="22"/>
    </row>
    <row r="376" ht="15.75" customHeight="1">
      <c r="A376" s="2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22"/>
      <c r="AO376" s="22"/>
      <c r="AP376" s="22"/>
    </row>
    <row r="377" ht="15.75" customHeight="1">
      <c r="A377" s="2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22"/>
      <c r="AO377" s="22"/>
      <c r="AP377" s="22"/>
    </row>
    <row r="378" ht="15.75" customHeight="1">
      <c r="A378" s="2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22"/>
      <c r="AO378" s="22"/>
      <c r="AP378" s="22"/>
    </row>
    <row r="379" ht="15.75" customHeight="1">
      <c r="A379" s="2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22"/>
      <c r="AO379" s="22"/>
      <c r="AP379" s="22"/>
    </row>
    <row r="380" ht="15.75" customHeight="1">
      <c r="A380" s="2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22"/>
      <c r="AO380" s="22"/>
      <c r="AP380" s="22"/>
    </row>
    <row r="381" ht="15.75" customHeight="1">
      <c r="A381" s="2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22"/>
      <c r="AO381" s="22"/>
      <c r="AP381" s="22"/>
    </row>
    <row r="382" ht="15.75" customHeight="1">
      <c r="A382" s="2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22"/>
      <c r="AO382" s="22"/>
      <c r="AP382" s="22"/>
    </row>
    <row r="383" ht="15.75" customHeight="1">
      <c r="A383" s="2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22"/>
      <c r="AO383" s="22"/>
      <c r="AP383" s="22"/>
    </row>
    <row r="384" ht="15.75" customHeight="1">
      <c r="A384" s="2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22"/>
      <c r="AO384" s="22"/>
      <c r="AP384" s="22"/>
    </row>
    <row r="385" ht="15.75" customHeight="1">
      <c r="A385" s="2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22"/>
      <c r="AO385" s="22"/>
      <c r="AP385" s="22"/>
    </row>
    <row r="386" ht="15.75" customHeight="1">
      <c r="A386" s="2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22"/>
      <c r="AO386" s="22"/>
      <c r="AP386" s="22"/>
    </row>
    <row r="387" ht="15.75" customHeight="1">
      <c r="A387" s="2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22"/>
      <c r="AO387" s="22"/>
      <c r="AP387" s="22"/>
    </row>
    <row r="388" ht="15.75" customHeight="1">
      <c r="A388" s="2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22"/>
      <c r="AO388" s="22"/>
      <c r="AP388" s="22"/>
    </row>
    <row r="389" ht="15.75" customHeight="1">
      <c r="A389" s="2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22"/>
      <c r="AO389" s="22"/>
      <c r="AP389" s="22"/>
    </row>
    <row r="390" ht="15.75" customHeight="1">
      <c r="A390" s="2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22"/>
      <c r="AO390" s="22"/>
      <c r="AP390" s="22"/>
    </row>
    <row r="391" ht="15.75" customHeight="1">
      <c r="A391" s="2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22"/>
      <c r="AO391" s="22"/>
      <c r="AP391" s="22"/>
    </row>
    <row r="392" ht="15.75" customHeight="1">
      <c r="A392" s="2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22"/>
      <c r="AO392" s="22"/>
      <c r="AP392" s="22"/>
    </row>
    <row r="393" ht="15.75" customHeight="1">
      <c r="A393" s="2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22"/>
      <c r="AO393" s="22"/>
      <c r="AP393" s="22"/>
    </row>
    <row r="394" ht="15.75" customHeight="1">
      <c r="A394" s="2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22"/>
      <c r="AO394" s="22"/>
      <c r="AP394" s="22"/>
    </row>
    <row r="395" ht="15.75" customHeight="1">
      <c r="A395" s="2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22"/>
      <c r="AO395" s="22"/>
      <c r="AP395" s="22"/>
    </row>
    <row r="396" ht="15.75" customHeight="1">
      <c r="A396" s="2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22"/>
      <c r="AO396" s="22"/>
      <c r="AP396" s="22"/>
    </row>
    <row r="397" ht="15.75" customHeight="1">
      <c r="A397" s="2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22"/>
      <c r="AO397" s="22"/>
      <c r="AP397" s="22"/>
    </row>
    <row r="398" ht="15.75" customHeight="1">
      <c r="A398" s="2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22"/>
      <c r="AO398" s="22"/>
      <c r="AP398" s="22"/>
    </row>
    <row r="399" ht="15.75" customHeight="1">
      <c r="A399" s="2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22"/>
      <c r="AO399" s="22"/>
      <c r="AP399" s="22"/>
    </row>
    <row r="400" ht="15.75" customHeight="1">
      <c r="A400" s="2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22"/>
      <c r="AO400" s="22"/>
      <c r="AP400" s="22"/>
    </row>
    <row r="401" ht="15.75" customHeight="1">
      <c r="A401" s="2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22"/>
      <c r="AO401" s="22"/>
      <c r="AP401" s="22"/>
    </row>
    <row r="402" ht="15.75" customHeight="1">
      <c r="A402" s="2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22"/>
      <c r="AO402" s="22"/>
      <c r="AP402" s="22"/>
    </row>
    <row r="403" ht="15.75" customHeight="1">
      <c r="A403" s="2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22"/>
      <c r="AO403" s="22"/>
      <c r="AP403" s="22"/>
    </row>
    <row r="404" ht="15.75" customHeight="1">
      <c r="A404" s="2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22"/>
      <c r="AO404" s="22"/>
      <c r="AP404" s="22"/>
    </row>
    <row r="405" ht="15.75" customHeight="1">
      <c r="A405" s="2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22"/>
      <c r="AO405" s="22"/>
      <c r="AP405" s="22"/>
    </row>
    <row r="406" ht="15.75" customHeight="1">
      <c r="A406" s="2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22"/>
      <c r="AO406" s="22"/>
      <c r="AP406" s="22"/>
    </row>
    <row r="407" ht="15.75" customHeight="1">
      <c r="A407" s="2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22"/>
      <c r="AO407" s="22"/>
      <c r="AP407" s="22"/>
    </row>
    <row r="408" ht="15.75" customHeight="1">
      <c r="A408" s="2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22"/>
      <c r="AO408" s="22"/>
      <c r="AP408" s="22"/>
    </row>
    <row r="409" ht="15.75" customHeight="1">
      <c r="A409" s="2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22"/>
      <c r="AO409" s="22"/>
      <c r="AP409" s="22"/>
    </row>
    <row r="410" ht="15.75" customHeight="1">
      <c r="A410" s="2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22"/>
      <c r="AO410" s="22"/>
      <c r="AP410" s="22"/>
    </row>
    <row r="411" ht="15.75" customHeight="1">
      <c r="A411" s="2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22"/>
      <c r="AO411" s="22"/>
      <c r="AP411" s="22"/>
    </row>
    <row r="412" ht="15.75" customHeight="1">
      <c r="A412" s="2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22"/>
      <c r="AO412" s="22"/>
      <c r="AP412" s="22"/>
    </row>
    <row r="413" ht="15.75" customHeight="1">
      <c r="A413" s="2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22"/>
      <c r="AO413" s="22"/>
      <c r="AP413" s="22"/>
    </row>
    <row r="414" ht="15.75" customHeight="1">
      <c r="A414" s="2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22"/>
      <c r="AO414" s="22"/>
      <c r="AP414" s="22"/>
    </row>
    <row r="415" ht="15.75" customHeight="1">
      <c r="A415" s="2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22"/>
      <c r="AO415" s="22"/>
      <c r="AP415" s="22"/>
    </row>
    <row r="416" ht="15.75" customHeight="1">
      <c r="A416" s="2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22"/>
      <c r="AO416" s="22"/>
      <c r="AP416" s="22"/>
    </row>
    <row r="417" ht="15.75" customHeight="1">
      <c r="A417" s="2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22"/>
      <c r="AO417" s="22"/>
      <c r="AP417" s="22"/>
    </row>
    <row r="418" ht="15.75" customHeight="1">
      <c r="A418" s="2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22"/>
      <c r="AO418" s="22"/>
      <c r="AP418" s="22"/>
    </row>
    <row r="419" ht="15.75" customHeight="1">
      <c r="A419" s="2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22"/>
      <c r="AO419" s="22"/>
      <c r="AP419" s="22"/>
    </row>
    <row r="420" ht="15.75" customHeight="1">
      <c r="A420" s="2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22"/>
      <c r="AO420" s="22"/>
      <c r="AP420" s="22"/>
    </row>
    <row r="421" ht="15.75" customHeight="1">
      <c r="A421" s="2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22"/>
      <c r="AO421" s="22"/>
      <c r="AP421" s="22"/>
    </row>
    <row r="422" ht="15.75" customHeight="1">
      <c r="A422" s="2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22"/>
      <c r="AO422" s="22"/>
      <c r="AP422" s="22"/>
    </row>
    <row r="423" ht="15.75" customHeight="1">
      <c r="A423" s="2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22"/>
      <c r="AO423" s="22"/>
      <c r="AP423" s="22"/>
    </row>
    <row r="424" ht="15.75" customHeight="1">
      <c r="A424" s="2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22"/>
      <c r="AO424" s="22"/>
      <c r="AP424" s="22"/>
    </row>
    <row r="425" ht="15.75" customHeight="1">
      <c r="A425" s="2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22"/>
      <c r="AO425" s="22"/>
      <c r="AP425" s="22"/>
    </row>
    <row r="426" ht="15.75" customHeight="1">
      <c r="A426" s="2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22"/>
      <c r="AO426" s="22"/>
      <c r="AP426" s="22"/>
    </row>
    <row r="427" ht="15.75" customHeight="1">
      <c r="A427" s="2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22"/>
      <c r="AO427" s="22"/>
      <c r="AP427" s="22"/>
    </row>
    <row r="428" ht="15.75" customHeight="1">
      <c r="A428" s="2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22"/>
      <c r="AO428" s="22"/>
      <c r="AP428" s="22"/>
    </row>
    <row r="429" ht="15.75" customHeight="1">
      <c r="A429" s="2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22"/>
      <c r="AO429" s="22"/>
      <c r="AP429" s="22"/>
    </row>
    <row r="430" ht="15.75" customHeight="1">
      <c r="A430" s="2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22"/>
      <c r="AO430" s="22"/>
      <c r="AP430" s="22"/>
    </row>
    <row r="431" ht="15.75" customHeight="1">
      <c r="A431" s="2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22"/>
      <c r="AO431" s="22"/>
      <c r="AP431" s="22"/>
    </row>
    <row r="432" ht="15.75" customHeight="1">
      <c r="A432" s="2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22"/>
      <c r="AO432" s="22"/>
      <c r="AP432" s="22"/>
    </row>
    <row r="433" ht="15.75" customHeight="1">
      <c r="A433" s="2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22"/>
      <c r="AO433" s="22"/>
      <c r="AP433" s="22"/>
    </row>
    <row r="434" ht="15.75" customHeight="1">
      <c r="A434" s="2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22"/>
      <c r="AO434" s="22"/>
      <c r="AP434" s="22"/>
    </row>
    <row r="435" ht="15.75" customHeight="1">
      <c r="A435" s="2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22"/>
      <c r="AO435" s="22"/>
      <c r="AP435" s="22"/>
    </row>
    <row r="436" ht="15.75" customHeight="1">
      <c r="A436" s="2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22"/>
      <c r="AO436" s="22"/>
      <c r="AP436" s="22"/>
    </row>
    <row r="437" ht="15.75" customHeight="1">
      <c r="A437" s="2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22"/>
      <c r="AO437" s="22"/>
      <c r="AP437" s="22"/>
    </row>
    <row r="438" ht="15.75" customHeight="1">
      <c r="A438" s="2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22"/>
      <c r="AO438" s="22"/>
      <c r="AP438" s="22"/>
    </row>
    <row r="439" ht="15.75" customHeight="1">
      <c r="A439" s="2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22"/>
      <c r="AO439" s="22"/>
      <c r="AP439" s="22"/>
    </row>
    <row r="440" ht="15.75" customHeight="1">
      <c r="A440" s="2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22"/>
      <c r="AO440" s="22"/>
      <c r="AP440" s="22"/>
    </row>
    <row r="441" ht="15.75" customHeight="1">
      <c r="A441" s="2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22"/>
      <c r="AO441" s="22"/>
      <c r="AP441" s="22"/>
    </row>
    <row r="442" ht="15.75" customHeight="1">
      <c r="A442" s="2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22"/>
      <c r="AO442" s="22"/>
      <c r="AP442" s="22"/>
    </row>
    <row r="443" ht="15.75" customHeight="1">
      <c r="A443" s="2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22"/>
      <c r="AO443" s="22"/>
      <c r="AP443" s="22"/>
    </row>
    <row r="444" ht="15.75" customHeight="1">
      <c r="A444" s="2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22"/>
      <c r="AO444" s="22"/>
      <c r="AP444" s="22"/>
    </row>
    <row r="445" ht="15.75" customHeight="1">
      <c r="A445" s="2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22"/>
      <c r="AO445" s="22"/>
      <c r="AP445" s="22"/>
    </row>
    <row r="446" ht="15.75" customHeight="1">
      <c r="A446" s="2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22"/>
      <c r="AO446" s="22"/>
      <c r="AP446" s="22"/>
    </row>
    <row r="447" ht="15.75" customHeight="1">
      <c r="A447" s="2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22"/>
      <c r="AO447" s="22"/>
      <c r="AP447" s="22"/>
    </row>
    <row r="448" ht="15.75" customHeight="1">
      <c r="A448" s="2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22"/>
      <c r="AO448" s="22"/>
      <c r="AP448" s="22"/>
    </row>
    <row r="449" ht="15.75" customHeight="1">
      <c r="A449" s="2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22"/>
      <c r="AO449" s="22"/>
      <c r="AP449" s="22"/>
    </row>
    <row r="450" ht="15.75" customHeight="1">
      <c r="A450" s="2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22"/>
      <c r="AO450" s="22"/>
      <c r="AP450" s="22"/>
    </row>
    <row r="451" ht="15.75" customHeight="1">
      <c r="A451" s="2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22"/>
      <c r="AO451" s="22"/>
      <c r="AP451" s="22"/>
    </row>
    <row r="452" ht="15.75" customHeight="1">
      <c r="A452" s="2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22"/>
      <c r="AO452" s="22"/>
      <c r="AP452" s="22"/>
    </row>
    <row r="453" ht="15.75" customHeight="1">
      <c r="A453" s="2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22"/>
      <c r="AO453" s="22"/>
      <c r="AP453" s="22"/>
    </row>
    <row r="454" ht="15.75" customHeight="1">
      <c r="A454" s="2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22"/>
      <c r="AO454" s="22"/>
      <c r="AP454" s="22"/>
    </row>
    <row r="455" ht="15.75" customHeight="1">
      <c r="A455" s="2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22"/>
      <c r="AO455" s="22"/>
      <c r="AP455" s="22"/>
    </row>
    <row r="456" ht="15.75" customHeight="1">
      <c r="A456" s="2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22"/>
      <c r="AO456" s="22"/>
      <c r="AP456" s="22"/>
    </row>
    <row r="457" ht="15.75" customHeight="1">
      <c r="A457" s="2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22"/>
      <c r="AO457" s="22"/>
      <c r="AP457" s="22"/>
    </row>
    <row r="458" ht="15.75" customHeight="1">
      <c r="A458" s="2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22"/>
      <c r="AO458" s="22"/>
      <c r="AP458" s="22"/>
    </row>
    <row r="459" ht="15.75" customHeight="1">
      <c r="A459" s="2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22"/>
      <c r="AO459" s="22"/>
      <c r="AP459" s="22"/>
    </row>
    <row r="460" ht="15.75" customHeight="1">
      <c r="A460" s="2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22"/>
      <c r="AO460" s="22"/>
      <c r="AP460" s="22"/>
    </row>
    <row r="461" ht="15.75" customHeight="1">
      <c r="A461" s="2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22"/>
      <c r="AO461" s="22"/>
      <c r="AP461" s="22"/>
    </row>
    <row r="462" ht="15.75" customHeight="1">
      <c r="A462" s="2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22"/>
      <c r="AO462" s="22"/>
      <c r="AP462" s="22"/>
    </row>
    <row r="463" ht="15.75" customHeight="1">
      <c r="A463" s="2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22"/>
      <c r="AO463" s="22"/>
      <c r="AP463" s="22"/>
    </row>
    <row r="464" ht="15.75" customHeight="1">
      <c r="A464" s="2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22"/>
      <c r="AO464" s="22"/>
      <c r="AP464" s="22"/>
    </row>
    <row r="465" ht="15.75" customHeight="1">
      <c r="A465" s="2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22"/>
      <c r="AO465" s="22"/>
      <c r="AP465" s="22"/>
    </row>
    <row r="466" ht="15.75" customHeight="1">
      <c r="A466" s="2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22"/>
      <c r="AO466" s="22"/>
      <c r="AP466" s="22"/>
    </row>
    <row r="467" ht="15.75" customHeight="1">
      <c r="A467" s="2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22"/>
      <c r="AO467" s="22"/>
      <c r="AP467" s="22"/>
    </row>
    <row r="468" ht="15.75" customHeight="1">
      <c r="A468" s="2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22"/>
      <c r="AO468" s="22"/>
      <c r="AP468" s="22"/>
    </row>
    <row r="469" ht="15.75" customHeight="1">
      <c r="A469" s="2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22"/>
      <c r="AO469" s="22"/>
      <c r="AP469" s="22"/>
    </row>
    <row r="470" ht="15.75" customHeight="1">
      <c r="A470" s="2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22"/>
      <c r="AO470" s="22"/>
      <c r="AP470" s="22"/>
    </row>
    <row r="471" ht="15.75" customHeight="1">
      <c r="A471" s="2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22"/>
      <c r="AO471" s="22"/>
      <c r="AP471" s="22"/>
    </row>
    <row r="472" ht="15.75" customHeight="1">
      <c r="A472" s="2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22"/>
      <c r="AO472" s="22"/>
      <c r="AP472" s="22"/>
    </row>
    <row r="473" ht="15.75" customHeight="1">
      <c r="A473" s="2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22"/>
      <c r="AO473" s="22"/>
      <c r="AP473" s="22"/>
    </row>
    <row r="474" ht="15.75" customHeight="1">
      <c r="A474" s="2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22"/>
      <c r="AO474" s="22"/>
      <c r="AP474" s="22"/>
    </row>
    <row r="475" ht="15.75" customHeight="1">
      <c r="A475" s="2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22"/>
      <c r="AO475" s="22"/>
      <c r="AP475" s="22"/>
    </row>
    <row r="476" ht="15.75" customHeight="1">
      <c r="A476" s="2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22"/>
      <c r="AO476" s="22"/>
      <c r="AP476" s="22"/>
    </row>
    <row r="477" ht="15.75" customHeight="1">
      <c r="A477" s="2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22"/>
      <c r="AO477" s="22"/>
      <c r="AP477" s="22"/>
    </row>
    <row r="478" ht="15.75" customHeight="1">
      <c r="A478" s="2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22"/>
      <c r="AO478" s="22"/>
      <c r="AP478" s="22"/>
    </row>
    <row r="479" ht="15.75" customHeight="1">
      <c r="A479" s="2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22"/>
      <c r="AO479" s="22"/>
      <c r="AP479" s="22"/>
    </row>
    <row r="480" ht="15.75" customHeight="1">
      <c r="A480" s="2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22"/>
      <c r="AO480" s="22"/>
      <c r="AP480" s="22"/>
    </row>
    <row r="481" ht="15.75" customHeight="1">
      <c r="A481" s="2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22"/>
      <c r="AO481" s="22"/>
      <c r="AP481" s="22"/>
    </row>
    <row r="482" ht="15.75" customHeight="1">
      <c r="A482" s="2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22"/>
      <c r="AO482" s="22"/>
      <c r="AP482" s="22"/>
    </row>
    <row r="483" ht="15.75" customHeight="1">
      <c r="A483" s="2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22"/>
      <c r="AO483" s="22"/>
      <c r="AP483" s="22"/>
    </row>
    <row r="484" ht="15.75" customHeight="1">
      <c r="A484" s="2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22"/>
      <c r="AO484" s="22"/>
      <c r="AP484" s="22"/>
    </row>
    <row r="485" ht="15.75" customHeight="1">
      <c r="A485" s="2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22"/>
      <c r="AO485" s="22"/>
      <c r="AP485" s="22"/>
    </row>
    <row r="486" ht="15.75" customHeight="1">
      <c r="A486" s="2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22"/>
      <c r="AO486" s="22"/>
      <c r="AP486" s="22"/>
    </row>
    <row r="487" ht="15.75" customHeight="1">
      <c r="A487" s="2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22"/>
      <c r="AO487" s="22"/>
      <c r="AP487" s="22"/>
    </row>
    <row r="488" ht="15.75" customHeight="1">
      <c r="A488" s="2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22"/>
      <c r="AO488" s="22"/>
      <c r="AP488" s="22"/>
    </row>
    <row r="489" ht="15.75" customHeight="1">
      <c r="A489" s="2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22"/>
      <c r="AO489" s="22"/>
      <c r="AP489" s="22"/>
    </row>
    <row r="490" ht="15.75" customHeight="1">
      <c r="A490" s="2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22"/>
      <c r="AO490" s="22"/>
      <c r="AP490" s="22"/>
    </row>
    <row r="491" ht="15.75" customHeight="1">
      <c r="A491" s="2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22"/>
      <c r="AO491" s="22"/>
      <c r="AP491" s="22"/>
    </row>
    <row r="492" ht="15.75" customHeight="1">
      <c r="A492" s="2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22"/>
      <c r="AO492" s="22"/>
      <c r="AP492" s="22"/>
    </row>
    <row r="493" ht="15.75" customHeight="1">
      <c r="A493" s="2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22"/>
      <c r="AO493" s="22"/>
      <c r="AP493" s="22"/>
    </row>
    <row r="494" ht="15.75" customHeight="1">
      <c r="A494" s="2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22"/>
      <c r="AO494" s="22"/>
      <c r="AP494" s="22"/>
    </row>
    <row r="495" ht="15.75" customHeight="1">
      <c r="A495" s="2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22"/>
      <c r="AO495" s="22"/>
      <c r="AP495" s="22"/>
    </row>
    <row r="496" ht="15.75" customHeight="1">
      <c r="A496" s="2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22"/>
      <c r="AO496" s="22"/>
      <c r="AP496" s="22"/>
    </row>
    <row r="497" ht="15.75" customHeight="1">
      <c r="A497" s="2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22"/>
      <c r="AO497" s="22"/>
      <c r="AP497" s="22"/>
    </row>
    <row r="498" ht="15.75" customHeight="1">
      <c r="A498" s="2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22"/>
      <c r="AO498" s="22"/>
      <c r="AP498" s="22"/>
    </row>
    <row r="499" ht="15.75" customHeight="1">
      <c r="A499" s="2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22"/>
      <c r="AO499" s="22"/>
      <c r="AP499" s="22"/>
    </row>
    <row r="500" ht="15.75" customHeight="1">
      <c r="A500" s="2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22"/>
      <c r="AO500" s="22"/>
      <c r="AP500" s="22"/>
    </row>
    <row r="501" ht="15.75" customHeight="1">
      <c r="A501" s="2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22"/>
      <c r="AO501" s="22"/>
      <c r="AP501" s="22"/>
    </row>
    <row r="502" ht="15.75" customHeight="1">
      <c r="A502" s="2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22"/>
      <c r="AO502" s="22"/>
      <c r="AP502" s="22"/>
    </row>
    <row r="503" ht="15.75" customHeight="1">
      <c r="A503" s="2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22"/>
      <c r="AO503" s="22"/>
      <c r="AP503" s="22"/>
    </row>
    <row r="504" ht="15.75" customHeight="1">
      <c r="A504" s="2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22"/>
      <c r="AO504" s="22"/>
      <c r="AP504" s="22"/>
    </row>
    <row r="505" ht="15.75" customHeight="1">
      <c r="A505" s="2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22"/>
      <c r="AO505" s="22"/>
      <c r="AP505" s="22"/>
    </row>
    <row r="506" ht="15.75" customHeight="1">
      <c r="A506" s="2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22"/>
      <c r="AO506" s="22"/>
      <c r="AP506" s="22"/>
    </row>
    <row r="507" ht="15.75" customHeight="1">
      <c r="A507" s="2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22"/>
      <c r="AO507" s="22"/>
      <c r="AP507" s="22"/>
    </row>
    <row r="508" ht="15.75" customHeight="1">
      <c r="A508" s="2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22"/>
      <c r="AO508" s="22"/>
      <c r="AP508" s="22"/>
    </row>
    <row r="509" ht="15.75" customHeight="1">
      <c r="A509" s="2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22"/>
      <c r="AO509" s="22"/>
      <c r="AP509" s="22"/>
    </row>
    <row r="510" ht="15.75" customHeight="1">
      <c r="A510" s="2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22"/>
      <c r="AO510" s="22"/>
      <c r="AP510" s="22"/>
    </row>
    <row r="511" ht="15.75" customHeight="1">
      <c r="A511" s="2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22"/>
      <c r="AO511" s="22"/>
      <c r="AP511" s="22"/>
    </row>
    <row r="512" ht="15.75" customHeight="1">
      <c r="A512" s="2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22"/>
      <c r="AO512" s="22"/>
      <c r="AP512" s="22"/>
    </row>
    <row r="513" ht="15.75" customHeight="1">
      <c r="A513" s="2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22"/>
      <c r="AO513" s="22"/>
      <c r="AP513" s="22"/>
    </row>
    <row r="514" ht="15.75" customHeight="1">
      <c r="A514" s="2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22"/>
      <c r="AO514" s="22"/>
      <c r="AP514" s="22"/>
    </row>
    <row r="515" ht="15.75" customHeight="1">
      <c r="A515" s="2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22"/>
      <c r="AO515" s="22"/>
      <c r="AP515" s="22"/>
    </row>
    <row r="516" ht="15.75" customHeight="1">
      <c r="A516" s="2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22"/>
      <c r="AO516" s="22"/>
      <c r="AP516" s="22"/>
    </row>
    <row r="517" ht="15.75" customHeight="1">
      <c r="A517" s="2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22"/>
      <c r="AO517" s="22"/>
      <c r="AP517" s="22"/>
    </row>
    <row r="518" ht="15.75" customHeight="1">
      <c r="A518" s="2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22"/>
      <c r="AO518" s="22"/>
      <c r="AP518" s="22"/>
    </row>
    <row r="519" ht="15.75" customHeight="1">
      <c r="A519" s="2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22"/>
      <c r="AO519" s="22"/>
      <c r="AP519" s="22"/>
    </row>
    <row r="520" ht="15.75" customHeight="1">
      <c r="A520" s="2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22"/>
      <c r="AO520" s="22"/>
      <c r="AP520" s="22"/>
    </row>
    <row r="521" ht="15.75" customHeight="1">
      <c r="A521" s="2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22"/>
      <c r="AO521" s="22"/>
      <c r="AP521" s="22"/>
    </row>
    <row r="522" ht="15.75" customHeight="1">
      <c r="A522" s="2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22"/>
      <c r="AO522" s="22"/>
      <c r="AP522" s="22"/>
    </row>
    <row r="523" ht="15.75" customHeight="1">
      <c r="A523" s="2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22"/>
      <c r="AO523" s="22"/>
      <c r="AP523" s="22"/>
    </row>
    <row r="524" ht="15.75" customHeight="1">
      <c r="A524" s="2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22"/>
      <c r="AO524" s="22"/>
      <c r="AP524" s="22"/>
    </row>
    <row r="525" ht="15.75" customHeight="1">
      <c r="A525" s="2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22"/>
      <c r="AO525" s="22"/>
      <c r="AP525" s="22"/>
    </row>
    <row r="526" ht="15.75" customHeight="1">
      <c r="A526" s="2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22"/>
      <c r="AO526" s="22"/>
      <c r="AP526" s="22"/>
    </row>
    <row r="527" ht="15.75" customHeight="1">
      <c r="A527" s="2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22"/>
      <c r="AO527" s="22"/>
      <c r="AP527" s="22"/>
    </row>
    <row r="528" ht="15.75" customHeight="1">
      <c r="A528" s="2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22"/>
      <c r="AO528" s="22"/>
      <c r="AP528" s="22"/>
    </row>
    <row r="529" ht="15.75" customHeight="1">
      <c r="A529" s="2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22"/>
      <c r="AO529" s="22"/>
      <c r="AP529" s="22"/>
    </row>
    <row r="530" ht="15.75" customHeight="1">
      <c r="A530" s="2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22"/>
      <c r="AO530" s="22"/>
      <c r="AP530" s="22"/>
    </row>
    <row r="531" ht="15.75" customHeight="1">
      <c r="A531" s="2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22"/>
      <c r="AO531" s="22"/>
      <c r="AP531" s="22"/>
    </row>
    <row r="532" ht="15.75" customHeight="1">
      <c r="A532" s="2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22"/>
      <c r="AO532" s="22"/>
      <c r="AP532" s="22"/>
    </row>
    <row r="533" ht="15.75" customHeight="1">
      <c r="A533" s="2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22"/>
      <c r="AO533" s="22"/>
      <c r="AP533" s="22"/>
    </row>
    <row r="534" ht="15.75" customHeight="1">
      <c r="A534" s="2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22"/>
      <c r="AO534" s="22"/>
      <c r="AP534" s="22"/>
    </row>
    <row r="535" ht="15.75" customHeight="1">
      <c r="A535" s="2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22"/>
      <c r="AO535" s="22"/>
      <c r="AP535" s="22"/>
    </row>
    <row r="536" ht="15.75" customHeight="1">
      <c r="A536" s="2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22"/>
      <c r="AO536" s="22"/>
      <c r="AP536" s="22"/>
    </row>
    <row r="537" ht="15.75" customHeight="1">
      <c r="A537" s="2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22"/>
      <c r="AO537" s="22"/>
      <c r="AP537" s="22"/>
    </row>
    <row r="538" ht="15.75" customHeight="1">
      <c r="A538" s="2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22"/>
      <c r="AO538" s="22"/>
      <c r="AP538" s="22"/>
    </row>
    <row r="539" ht="15.75" customHeight="1">
      <c r="A539" s="2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22"/>
      <c r="AO539" s="22"/>
      <c r="AP539" s="22"/>
    </row>
    <row r="540" ht="15.75" customHeight="1">
      <c r="A540" s="2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22"/>
      <c r="AO540" s="22"/>
      <c r="AP540" s="22"/>
    </row>
    <row r="541" ht="15.75" customHeight="1">
      <c r="A541" s="2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22"/>
      <c r="AO541" s="22"/>
      <c r="AP541" s="22"/>
    </row>
    <row r="542" ht="15.75" customHeight="1">
      <c r="A542" s="2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22"/>
      <c r="AO542" s="22"/>
      <c r="AP542" s="22"/>
    </row>
    <row r="543" ht="15.75" customHeight="1">
      <c r="A543" s="2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22"/>
      <c r="AO543" s="22"/>
      <c r="AP543" s="22"/>
    </row>
    <row r="544" ht="15.75" customHeight="1">
      <c r="A544" s="2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22"/>
      <c r="AO544" s="22"/>
      <c r="AP544" s="22"/>
    </row>
    <row r="545" ht="15.75" customHeight="1">
      <c r="A545" s="2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22"/>
      <c r="AO545" s="22"/>
      <c r="AP545" s="22"/>
    </row>
    <row r="546" ht="15.75" customHeight="1">
      <c r="A546" s="2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22"/>
      <c r="AO546" s="22"/>
      <c r="AP546" s="22"/>
    </row>
    <row r="547" ht="15.75" customHeight="1">
      <c r="A547" s="2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22"/>
      <c r="AO547" s="22"/>
      <c r="AP547" s="22"/>
    </row>
    <row r="548" ht="15.75" customHeight="1">
      <c r="A548" s="2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22"/>
      <c r="AO548" s="22"/>
      <c r="AP548" s="22"/>
    </row>
    <row r="549" ht="15.75" customHeight="1">
      <c r="A549" s="2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22"/>
      <c r="AO549" s="22"/>
      <c r="AP549" s="22"/>
    </row>
    <row r="550" ht="15.75" customHeight="1">
      <c r="A550" s="2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22"/>
      <c r="AO550" s="22"/>
      <c r="AP550" s="22"/>
    </row>
    <row r="551" ht="15.75" customHeight="1">
      <c r="A551" s="2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22"/>
      <c r="AO551" s="22"/>
      <c r="AP551" s="22"/>
    </row>
    <row r="552" ht="15.75" customHeight="1">
      <c r="A552" s="2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22"/>
      <c r="AO552" s="22"/>
      <c r="AP552" s="22"/>
    </row>
    <row r="553" ht="15.75" customHeight="1">
      <c r="A553" s="2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22"/>
      <c r="AO553" s="22"/>
      <c r="AP553" s="22"/>
    </row>
    <row r="554" ht="15.75" customHeight="1">
      <c r="A554" s="2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22"/>
      <c r="AO554" s="22"/>
      <c r="AP554" s="22"/>
    </row>
    <row r="555" ht="15.75" customHeight="1">
      <c r="A555" s="2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22"/>
      <c r="AO555" s="22"/>
      <c r="AP555" s="22"/>
    </row>
    <row r="556" ht="15.75" customHeight="1">
      <c r="A556" s="2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22"/>
      <c r="AO556" s="22"/>
      <c r="AP556" s="22"/>
    </row>
    <row r="557" ht="15.75" customHeight="1">
      <c r="A557" s="2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22"/>
      <c r="AO557" s="22"/>
      <c r="AP557" s="22"/>
    </row>
    <row r="558" ht="15.75" customHeight="1">
      <c r="A558" s="2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22"/>
      <c r="AO558" s="22"/>
      <c r="AP558" s="22"/>
    </row>
    <row r="559" ht="15.75" customHeight="1">
      <c r="A559" s="2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22"/>
      <c r="AO559" s="22"/>
      <c r="AP559" s="22"/>
    </row>
    <row r="560" ht="15.75" customHeight="1">
      <c r="A560" s="2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22"/>
      <c r="AO560" s="22"/>
      <c r="AP560" s="22"/>
    </row>
    <row r="561" ht="15.75" customHeight="1">
      <c r="A561" s="2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22"/>
      <c r="AO561" s="22"/>
      <c r="AP561" s="22"/>
    </row>
    <row r="562" ht="15.75" customHeight="1">
      <c r="A562" s="2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22"/>
      <c r="AO562" s="22"/>
      <c r="AP562" s="22"/>
    </row>
    <row r="563" ht="15.75" customHeight="1">
      <c r="A563" s="2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22"/>
      <c r="AO563" s="22"/>
      <c r="AP563" s="22"/>
    </row>
    <row r="564" ht="15.75" customHeight="1">
      <c r="A564" s="2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22"/>
      <c r="AO564" s="22"/>
      <c r="AP564" s="22"/>
    </row>
    <row r="565" ht="15.75" customHeight="1">
      <c r="A565" s="2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22"/>
      <c r="AO565" s="22"/>
      <c r="AP565" s="22"/>
    </row>
    <row r="566" ht="15.75" customHeight="1">
      <c r="A566" s="2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22"/>
      <c r="AO566" s="22"/>
      <c r="AP566" s="22"/>
    </row>
    <row r="567" ht="15.75" customHeight="1">
      <c r="A567" s="2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22"/>
      <c r="AO567" s="22"/>
      <c r="AP567" s="22"/>
    </row>
    <row r="568" ht="15.75" customHeight="1">
      <c r="A568" s="2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22"/>
      <c r="AO568" s="22"/>
      <c r="AP568" s="22"/>
    </row>
    <row r="569" ht="15.75" customHeight="1">
      <c r="A569" s="2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22"/>
      <c r="AO569" s="22"/>
      <c r="AP569" s="22"/>
    </row>
    <row r="570" ht="15.75" customHeight="1">
      <c r="A570" s="2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22"/>
      <c r="AO570" s="22"/>
      <c r="AP570" s="22"/>
    </row>
    <row r="571" ht="15.75" customHeight="1">
      <c r="A571" s="2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22"/>
      <c r="AO571" s="22"/>
      <c r="AP571" s="22"/>
    </row>
    <row r="572" ht="15.75" customHeight="1">
      <c r="A572" s="2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22"/>
      <c r="AO572" s="22"/>
      <c r="AP572" s="22"/>
    </row>
    <row r="573" ht="15.75" customHeight="1">
      <c r="A573" s="2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22"/>
      <c r="AO573" s="22"/>
      <c r="AP573" s="22"/>
    </row>
    <row r="574" ht="15.75" customHeight="1">
      <c r="A574" s="2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22"/>
      <c r="AO574" s="22"/>
      <c r="AP574" s="22"/>
    </row>
    <row r="575" ht="15.75" customHeight="1">
      <c r="A575" s="2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22"/>
      <c r="AO575" s="22"/>
      <c r="AP575" s="22"/>
    </row>
    <row r="576" ht="15.75" customHeight="1">
      <c r="A576" s="2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22"/>
      <c r="AO576" s="22"/>
      <c r="AP576" s="22"/>
    </row>
    <row r="577" ht="15.75" customHeight="1">
      <c r="A577" s="2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22"/>
      <c r="AO577" s="22"/>
      <c r="AP577" s="22"/>
    </row>
    <row r="578" ht="15.75" customHeight="1">
      <c r="A578" s="2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22"/>
      <c r="AO578" s="22"/>
      <c r="AP578" s="22"/>
    </row>
    <row r="579" ht="15.75" customHeight="1">
      <c r="A579" s="2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22"/>
      <c r="AO579" s="22"/>
      <c r="AP579" s="22"/>
    </row>
    <row r="580" ht="15.75" customHeight="1">
      <c r="A580" s="2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22"/>
      <c r="AO580" s="22"/>
      <c r="AP580" s="22"/>
    </row>
    <row r="581" ht="15.75" customHeight="1">
      <c r="A581" s="2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22"/>
      <c r="AO581" s="22"/>
      <c r="AP581" s="22"/>
    </row>
    <row r="582" ht="15.75" customHeight="1">
      <c r="A582" s="2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22"/>
      <c r="AO582" s="22"/>
      <c r="AP582" s="22"/>
    </row>
    <row r="583" ht="15.75" customHeight="1">
      <c r="A583" s="2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22"/>
      <c r="AO583" s="22"/>
      <c r="AP583" s="22"/>
    </row>
    <row r="584" ht="15.75" customHeight="1">
      <c r="A584" s="2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22"/>
      <c r="AO584" s="22"/>
      <c r="AP584" s="22"/>
    </row>
    <row r="585" ht="15.75" customHeight="1">
      <c r="A585" s="2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22"/>
      <c r="AO585" s="22"/>
      <c r="AP585" s="22"/>
    </row>
    <row r="586" ht="15.75" customHeight="1">
      <c r="A586" s="2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22"/>
      <c r="AO586" s="22"/>
      <c r="AP586" s="22"/>
    </row>
    <row r="587" ht="15.75" customHeight="1">
      <c r="A587" s="2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22"/>
      <c r="AO587" s="22"/>
      <c r="AP587" s="22"/>
    </row>
    <row r="588" ht="15.75" customHeight="1">
      <c r="A588" s="2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22"/>
      <c r="AO588" s="22"/>
      <c r="AP588" s="22"/>
    </row>
    <row r="589" ht="15.75" customHeight="1">
      <c r="A589" s="2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22"/>
      <c r="AO589" s="22"/>
      <c r="AP589" s="22"/>
    </row>
    <row r="590" ht="15.75" customHeight="1">
      <c r="A590" s="2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22"/>
      <c r="AO590" s="22"/>
      <c r="AP590" s="22"/>
    </row>
    <row r="591" ht="15.75" customHeight="1">
      <c r="A591" s="2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22"/>
      <c r="AO591" s="22"/>
      <c r="AP591" s="22"/>
    </row>
    <row r="592" ht="15.75" customHeight="1">
      <c r="A592" s="2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22"/>
      <c r="AO592" s="22"/>
      <c r="AP592" s="22"/>
    </row>
    <row r="593" ht="15.75" customHeight="1">
      <c r="A593" s="2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22"/>
      <c r="AO593" s="22"/>
      <c r="AP593" s="22"/>
    </row>
    <row r="594" ht="15.75" customHeight="1">
      <c r="A594" s="2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22"/>
      <c r="AO594" s="22"/>
      <c r="AP594" s="22"/>
    </row>
    <row r="595" ht="15.75" customHeight="1">
      <c r="A595" s="2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22"/>
      <c r="AO595" s="22"/>
      <c r="AP595" s="22"/>
    </row>
    <row r="596" ht="15.75" customHeight="1">
      <c r="A596" s="2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22"/>
      <c r="AO596" s="22"/>
      <c r="AP596" s="22"/>
    </row>
    <row r="597" ht="15.75" customHeight="1">
      <c r="A597" s="2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22"/>
      <c r="AO597" s="22"/>
      <c r="AP597" s="22"/>
    </row>
    <row r="598" ht="15.75" customHeight="1">
      <c r="A598" s="2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22"/>
      <c r="AO598" s="22"/>
      <c r="AP598" s="22"/>
    </row>
    <row r="599" ht="15.75" customHeight="1">
      <c r="A599" s="2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22"/>
      <c r="AO599" s="22"/>
      <c r="AP599" s="22"/>
    </row>
    <row r="600" ht="15.75" customHeight="1">
      <c r="A600" s="2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22"/>
      <c r="AO600" s="22"/>
      <c r="AP600" s="22"/>
    </row>
    <row r="601" ht="15.75" customHeight="1">
      <c r="A601" s="2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22"/>
      <c r="AO601" s="22"/>
      <c r="AP601" s="22"/>
    </row>
    <row r="602" ht="15.75" customHeight="1">
      <c r="A602" s="2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22"/>
      <c r="AO602" s="22"/>
      <c r="AP602" s="22"/>
    </row>
    <row r="603" ht="15.75" customHeight="1">
      <c r="A603" s="2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22"/>
      <c r="AO603" s="22"/>
      <c r="AP603" s="22"/>
    </row>
    <row r="604" ht="15.75" customHeight="1">
      <c r="A604" s="2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22"/>
      <c r="AO604" s="22"/>
      <c r="AP604" s="22"/>
    </row>
    <row r="605" ht="15.75" customHeight="1">
      <c r="A605" s="2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22"/>
      <c r="AO605" s="22"/>
      <c r="AP605" s="22"/>
    </row>
    <row r="606" ht="15.75" customHeight="1">
      <c r="A606" s="2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22"/>
      <c r="AO606" s="22"/>
      <c r="AP606" s="22"/>
    </row>
    <row r="607" ht="15.75" customHeight="1">
      <c r="A607" s="2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22"/>
      <c r="AO607" s="22"/>
      <c r="AP607" s="22"/>
    </row>
    <row r="608" ht="15.75" customHeight="1">
      <c r="A608" s="2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22"/>
      <c r="AO608" s="22"/>
      <c r="AP608" s="22"/>
    </row>
    <row r="609" ht="15.75" customHeight="1">
      <c r="A609" s="2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22"/>
      <c r="AO609" s="22"/>
      <c r="AP609" s="22"/>
    </row>
    <row r="610" ht="15.75" customHeight="1">
      <c r="A610" s="2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22"/>
      <c r="AO610" s="22"/>
      <c r="AP610" s="22"/>
    </row>
    <row r="611" ht="15.75" customHeight="1">
      <c r="A611" s="2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22"/>
      <c r="AO611" s="22"/>
      <c r="AP611" s="22"/>
    </row>
    <row r="612" ht="15.75" customHeight="1">
      <c r="A612" s="2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22"/>
      <c r="AO612" s="22"/>
      <c r="AP612" s="22"/>
    </row>
    <row r="613" ht="15.75" customHeight="1">
      <c r="A613" s="2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22"/>
      <c r="AO613" s="22"/>
      <c r="AP613" s="22"/>
    </row>
    <row r="614" ht="15.75" customHeight="1">
      <c r="A614" s="2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22"/>
      <c r="AO614" s="22"/>
      <c r="AP614" s="22"/>
    </row>
    <row r="615" ht="15.75" customHeight="1">
      <c r="A615" s="2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22"/>
      <c r="AO615" s="22"/>
      <c r="AP615" s="22"/>
    </row>
    <row r="616" ht="15.75" customHeight="1">
      <c r="A616" s="2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22"/>
      <c r="AO616" s="22"/>
      <c r="AP616" s="22"/>
    </row>
    <row r="617" ht="15.75" customHeight="1">
      <c r="A617" s="2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22"/>
      <c r="AO617" s="22"/>
      <c r="AP617" s="22"/>
    </row>
    <row r="618" ht="15.75" customHeight="1">
      <c r="A618" s="2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22"/>
      <c r="AO618" s="22"/>
      <c r="AP618" s="22"/>
    </row>
    <row r="619" ht="15.75" customHeight="1">
      <c r="A619" s="2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22"/>
      <c r="AO619" s="22"/>
      <c r="AP619" s="22"/>
    </row>
    <row r="620" ht="15.75" customHeight="1">
      <c r="A620" s="2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22"/>
      <c r="AO620" s="22"/>
      <c r="AP620" s="22"/>
    </row>
    <row r="621" ht="15.75" customHeight="1">
      <c r="A621" s="2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22"/>
      <c r="AO621" s="22"/>
      <c r="AP621" s="22"/>
    </row>
    <row r="622" ht="15.75" customHeight="1">
      <c r="A622" s="2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22"/>
      <c r="AO622" s="22"/>
      <c r="AP622" s="22"/>
    </row>
    <row r="623" ht="15.75" customHeight="1">
      <c r="A623" s="2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22"/>
      <c r="AO623" s="22"/>
      <c r="AP623" s="22"/>
    </row>
    <row r="624" ht="15.75" customHeight="1">
      <c r="A624" s="2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22"/>
      <c r="AO624" s="22"/>
      <c r="AP624" s="22"/>
    </row>
    <row r="625" ht="15.75" customHeight="1">
      <c r="A625" s="2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22"/>
      <c r="AO625" s="22"/>
      <c r="AP625" s="22"/>
    </row>
    <row r="626" ht="15.75" customHeight="1">
      <c r="A626" s="2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22"/>
      <c r="AO626" s="22"/>
      <c r="AP626" s="22"/>
    </row>
    <row r="627" ht="15.75" customHeight="1">
      <c r="A627" s="2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22"/>
      <c r="AO627" s="22"/>
      <c r="AP627" s="22"/>
    </row>
    <row r="628" ht="15.75" customHeight="1">
      <c r="A628" s="2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22"/>
      <c r="AO628" s="22"/>
      <c r="AP628" s="22"/>
    </row>
    <row r="629" ht="15.75" customHeight="1">
      <c r="A629" s="2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22"/>
      <c r="AO629" s="22"/>
      <c r="AP629" s="22"/>
    </row>
    <row r="630" ht="15.75" customHeight="1">
      <c r="A630" s="2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22"/>
      <c r="AO630" s="22"/>
      <c r="AP630" s="22"/>
    </row>
    <row r="631" ht="15.75" customHeight="1">
      <c r="A631" s="2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22"/>
      <c r="AO631" s="22"/>
      <c r="AP631" s="22"/>
    </row>
    <row r="632" ht="15.75" customHeight="1">
      <c r="A632" s="2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22"/>
      <c r="AO632" s="22"/>
      <c r="AP632" s="22"/>
    </row>
    <row r="633" ht="15.75" customHeight="1">
      <c r="A633" s="2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22"/>
      <c r="AO633" s="22"/>
      <c r="AP633" s="22"/>
    </row>
    <row r="634" ht="15.75" customHeight="1">
      <c r="A634" s="2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22"/>
      <c r="AO634" s="22"/>
      <c r="AP634" s="22"/>
    </row>
    <row r="635" ht="15.75" customHeight="1">
      <c r="A635" s="2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22"/>
      <c r="AO635" s="22"/>
      <c r="AP635" s="22"/>
    </row>
    <row r="636" ht="15.75" customHeight="1">
      <c r="A636" s="2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22"/>
      <c r="AO636" s="22"/>
      <c r="AP636" s="22"/>
    </row>
    <row r="637" ht="15.75" customHeight="1">
      <c r="A637" s="2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22"/>
      <c r="AO637" s="22"/>
      <c r="AP637" s="22"/>
    </row>
    <row r="638" ht="15.75" customHeight="1">
      <c r="A638" s="2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22"/>
      <c r="AO638" s="22"/>
      <c r="AP638" s="22"/>
    </row>
    <row r="639" ht="15.75" customHeight="1">
      <c r="A639" s="2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22"/>
      <c r="AO639" s="22"/>
      <c r="AP639" s="22"/>
    </row>
    <row r="640" ht="15.75" customHeight="1">
      <c r="A640" s="2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22"/>
      <c r="AO640" s="22"/>
      <c r="AP640" s="22"/>
    </row>
    <row r="641" ht="15.75" customHeight="1">
      <c r="A641" s="2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22"/>
      <c r="AO641" s="22"/>
      <c r="AP641" s="22"/>
    </row>
    <row r="642" ht="15.75" customHeight="1">
      <c r="A642" s="2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22"/>
      <c r="AO642" s="22"/>
      <c r="AP642" s="22"/>
    </row>
    <row r="643" ht="15.75" customHeight="1">
      <c r="A643" s="2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22"/>
      <c r="AO643" s="22"/>
      <c r="AP643" s="22"/>
    </row>
    <row r="644" ht="15.75" customHeight="1">
      <c r="A644" s="2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22"/>
      <c r="AO644" s="22"/>
      <c r="AP644" s="22"/>
    </row>
    <row r="645" ht="15.75" customHeight="1">
      <c r="A645" s="2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22"/>
      <c r="AO645" s="22"/>
      <c r="AP645" s="22"/>
    </row>
    <row r="646" ht="15.75" customHeight="1">
      <c r="A646" s="2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22"/>
      <c r="AO646" s="22"/>
      <c r="AP646" s="22"/>
    </row>
    <row r="647" ht="15.75" customHeight="1">
      <c r="A647" s="2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22"/>
      <c r="AO647" s="22"/>
      <c r="AP647" s="22"/>
    </row>
    <row r="648" ht="15.75" customHeight="1">
      <c r="A648" s="2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22"/>
      <c r="AO648" s="22"/>
      <c r="AP648" s="22"/>
    </row>
    <row r="649" ht="15.75" customHeight="1">
      <c r="A649" s="2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22"/>
      <c r="AO649" s="22"/>
      <c r="AP649" s="22"/>
    </row>
    <row r="650" ht="15.75" customHeight="1">
      <c r="A650" s="2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22"/>
      <c r="AO650" s="22"/>
      <c r="AP650" s="22"/>
    </row>
    <row r="651" ht="15.75" customHeight="1">
      <c r="A651" s="2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22"/>
      <c r="AO651" s="22"/>
      <c r="AP651" s="22"/>
    </row>
    <row r="652" ht="15.75" customHeight="1">
      <c r="A652" s="2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22"/>
      <c r="AO652" s="22"/>
      <c r="AP652" s="22"/>
    </row>
    <row r="653" ht="15.75" customHeight="1">
      <c r="A653" s="2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22"/>
      <c r="AO653" s="22"/>
      <c r="AP653" s="22"/>
    </row>
    <row r="654" ht="15.75" customHeight="1">
      <c r="A654" s="2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22"/>
      <c r="AO654" s="22"/>
      <c r="AP654" s="22"/>
    </row>
    <row r="655" ht="15.75" customHeight="1">
      <c r="A655" s="2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22"/>
      <c r="AO655" s="22"/>
      <c r="AP655" s="22"/>
    </row>
    <row r="656" ht="15.75" customHeight="1">
      <c r="A656" s="2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22"/>
      <c r="AO656" s="22"/>
      <c r="AP656" s="22"/>
    </row>
    <row r="657" ht="15.75" customHeight="1">
      <c r="A657" s="2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22"/>
      <c r="AO657" s="22"/>
      <c r="AP657" s="22"/>
    </row>
    <row r="658" ht="15.75" customHeight="1">
      <c r="A658" s="2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22"/>
      <c r="AO658" s="22"/>
      <c r="AP658" s="22"/>
    </row>
    <row r="659" ht="15.75" customHeight="1">
      <c r="A659" s="2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22"/>
      <c r="AO659" s="22"/>
      <c r="AP659" s="22"/>
    </row>
    <row r="660" ht="15.75" customHeight="1">
      <c r="A660" s="2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22"/>
      <c r="AO660" s="22"/>
      <c r="AP660" s="22"/>
    </row>
    <row r="661" ht="15.75" customHeight="1">
      <c r="A661" s="2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22"/>
      <c r="AO661" s="22"/>
      <c r="AP661" s="22"/>
    </row>
    <row r="662" ht="15.75" customHeight="1">
      <c r="A662" s="2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22"/>
      <c r="AO662" s="22"/>
      <c r="AP662" s="22"/>
    </row>
    <row r="663" ht="15.75" customHeight="1">
      <c r="A663" s="2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22"/>
      <c r="AO663" s="22"/>
      <c r="AP663" s="22"/>
    </row>
    <row r="664" ht="15.75" customHeight="1">
      <c r="A664" s="2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22"/>
      <c r="AO664" s="22"/>
      <c r="AP664" s="22"/>
    </row>
    <row r="665" ht="15.75" customHeight="1">
      <c r="A665" s="2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22"/>
      <c r="AO665" s="22"/>
      <c r="AP665" s="22"/>
    </row>
    <row r="666" ht="15.75" customHeight="1">
      <c r="A666" s="2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22"/>
      <c r="AO666" s="22"/>
      <c r="AP666" s="22"/>
    </row>
    <row r="667" ht="15.75" customHeight="1">
      <c r="A667" s="2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22"/>
      <c r="AO667" s="22"/>
      <c r="AP667" s="22"/>
    </row>
    <row r="668" ht="15.75" customHeight="1">
      <c r="A668" s="2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22"/>
      <c r="AO668" s="22"/>
      <c r="AP668" s="22"/>
    </row>
    <row r="669" ht="15.75" customHeight="1">
      <c r="A669" s="2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22"/>
      <c r="AO669" s="22"/>
      <c r="AP669" s="22"/>
    </row>
    <row r="670" ht="15.75" customHeight="1">
      <c r="A670" s="2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22"/>
      <c r="AO670" s="22"/>
      <c r="AP670" s="22"/>
    </row>
    <row r="671" ht="15.75" customHeight="1">
      <c r="A671" s="2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22"/>
      <c r="AO671" s="22"/>
      <c r="AP671" s="22"/>
    </row>
    <row r="672" ht="15.75" customHeight="1">
      <c r="A672" s="2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22"/>
      <c r="AO672" s="22"/>
      <c r="AP672" s="22"/>
    </row>
    <row r="673" ht="15.75" customHeight="1">
      <c r="A673" s="2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22"/>
      <c r="AO673" s="22"/>
      <c r="AP673" s="22"/>
    </row>
    <row r="674" ht="15.75" customHeight="1">
      <c r="A674" s="2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22"/>
      <c r="AO674" s="22"/>
      <c r="AP674" s="22"/>
    </row>
    <row r="675" ht="15.75" customHeight="1">
      <c r="A675" s="2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22"/>
      <c r="AO675" s="22"/>
      <c r="AP675" s="22"/>
    </row>
    <row r="676" ht="15.75" customHeight="1">
      <c r="A676" s="2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22"/>
      <c r="AO676" s="22"/>
      <c r="AP676" s="22"/>
    </row>
    <row r="677" ht="15.75" customHeight="1">
      <c r="A677" s="2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22"/>
      <c r="AO677" s="22"/>
      <c r="AP677" s="22"/>
    </row>
    <row r="678" ht="15.75" customHeight="1">
      <c r="A678" s="2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22"/>
      <c r="AO678" s="22"/>
      <c r="AP678" s="22"/>
    </row>
    <row r="679" ht="15.75" customHeight="1">
      <c r="A679" s="2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22"/>
      <c r="AO679" s="22"/>
      <c r="AP679" s="22"/>
    </row>
    <row r="680" ht="15.75" customHeight="1">
      <c r="A680" s="2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22"/>
      <c r="AO680" s="22"/>
      <c r="AP680" s="22"/>
    </row>
    <row r="681" ht="15.75" customHeight="1">
      <c r="A681" s="2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22"/>
      <c r="AO681" s="22"/>
      <c r="AP681" s="22"/>
    </row>
    <row r="682" ht="15.75" customHeight="1">
      <c r="A682" s="2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22"/>
      <c r="AO682" s="22"/>
      <c r="AP682" s="22"/>
    </row>
    <row r="683" ht="15.75" customHeight="1">
      <c r="A683" s="2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22"/>
      <c r="AO683" s="22"/>
      <c r="AP683" s="22"/>
    </row>
    <row r="684" ht="15.75" customHeight="1">
      <c r="A684" s="2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22"/>
      <c r="AO684" s="22"/>
      <c r="AP684" s="22"/>
    </row>
    <row r="685" ht="15.75" customHeight="1">
      <c r="A685" s="2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22"/>
      <c r="AO685" s="22"/>
      <c r="AP685" s="22"/>
    </row>
    <row r="686" ht="15.75" customHeight="1">
      <c r="A686" s="2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22"/>
      <c r="AO686" s="22"/>
      <c r="AP686" s="22"/>
    </row>
    <row r="687" ht="15.75" customHeight="1">
      <c r="A687" s="2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22"/>
      <c r="AO687" s="22"/>
      <c r="AP687" s="22"/>
    </row>
    <row r="688" ht="15.75" customHeight="1">
      <c r="A688" s="2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22"/>
      <c r="AO688" s="22"/>
      <c r="AP688" s="22"/>
    </row>
    <row r="689" ht="15.75" customHeight="1">
      <c r="A689" s="2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22"/>
      <c r="AO689" s="22"/>
      <c r="AP689" s="22"/>
    </row>
    <row r="690" ht="15.75" customHeight="1">
      <c r="A690" s="2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22"/>
      <c r="AO690" s="22"/>
      <c r="AP690" s="22"/>
    </row>
    <row r="691" ht="15.75" customHeight="1">
      <c r="A691" s="2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22"/>
      <c r="AO691" s="22"/>
      <c r="AP691" s="22"/>
    </row>
    <row r="692" ht="15.75" customHeight="1">
      <c r="A692" s="2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22"/>
      <c r="AO692" s="22"/>
      <c r="AP692" s="22"/>
    </row>
    <row r="693" ht="15.75" customHeight="1">
      <c r="A693" s="2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22"/>
      <c r="AO693" s="22"/>
      <c r="AP693" s="22"/>
    </row>
    <row r="694" ht="15.75" customHeight="1">
      <c r="A694" s="2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22"/>
      <c r="AO694" s="22"/>
      <c r="AP694" s="22"/>
    </row>
    <row r="695" ht="15.75" customHeight="1">
      <c r="A695" s="2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22"/>
      <c r="AO695" s="22"/>
      <c r="AP695" s="22"/>
    </row>
    <row r="696" ht="15.75" customHeight="1">
      <c r="A696" s="2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22"/>
      <c r="AO696" s="22"/>
      <c r="AP696" s="22"/>
    </row>
    <row r="697" ht="15.75" customHeight="1">
      <c r="A697" s="2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22"/>
      <c r="AO697" s="22"/>
      <c r="AP697" s="22"/>
    </row>
    <row r="698" ht="15.75" customHeight="1">
      <c r="A698" s="2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22"/>
      <c r="AO698" s="22"/>
      <c r="AP698" s="22"/>
    </row>
    <row r="699" ht="15.75" customHeight="1">
      <c r="A699" s="2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22"/>
      <c r="AO699" s="22"/>
      <c r="AP699" s="22"/>
    </row>
    <row r="700" ht="15.75" customHeight="1">
      <c r="A700" s="2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22"/>
      <c r="AO700" s="22"/>
      <c r="AP700" s="22"/>
    </row>
    <row r="701" ht="15.75" customHeight="1">
      <c r="A701" s="2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22"/>
      <c r="AO701" s="22"/>
      <c r="AP701" s="22"/>
    </row>
    <row r="702" ht="15.75" customHeight="1">
      <c r="A702" s="2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22"/>
      <c r="AO702" s="22"/>
      <c r="AP702" s="22"/>
    </row>
    <row r="703" ht="15.75" customHeight="1">
      <c r="A703" s="2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22"/>
      <c r="AO703" s="22"/>
      <c r="AP703" s="22"/>
    </row>
    <row r="704" ht="15.75" customHeight="1">
      <c r="A704" s="2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22"/>
      <c r="AO704" s="22"/>
      <c r="AP704" s="22"/>
    </row>
    <row r="705" ht="15.75" customHeight="1">
      <c r="A705" s="2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22"/>
      <c r="AO705" s="22"/>
      <c r="AP705" s="22"/>
    </row>
    <row r="706" ht="15.75" customHeight="1">
      <c r="A706" s="2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22"/>
      <c r="AO706" s="22"/>
      <c r="AP706" s="22"/>
    </row>
    <row r="707" ht="15.75" customHeight="1">
      <c r="A707" s="2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22"/>
      <c r="AO707" s="22"/>
      <c r="AP707" s="22"/>
    </row>
    <row r="708" ht="15.75" customHeight="1">
      <c r="A708" s="2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22"/>
      <c r="AO708" s="22"/>
      <c r="AP708" s="22"/>
    </row>
    <row r="709" ht="15.75" customHeight="1">
      <c r="A709" s="2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22"/>
      <c r="AO709" s="22"/>
      <c r="AP709" s="22"/>
    </row>
    <row r="710" ht="15.75" customHeight="1">
      <c r="A710" s="2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22"/>
      <c r="AO710" s="22"/>
      <c r="AP710" s="22"/>
    </row>
    <row r="711" ht="15.75" customHeight="1">
      <c r="A711" s="2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22"/>
      <c r="AO711" s="22"/>
      <c r="AP711" s="22"/>
    </row>
    <row r="712" ht="15.75" customHeight="1">
      <c r="A712" s="2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22"/>
      <c r="AO712" s="22"/>
      <c r="AP712" s="22"/>
    </row>
    <row r="713" ht="15.75" customHeight="1">
      <c r="A713" s="2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22"/>
      <c r="AO713" s="22"/>
      <c r="AP713" s="22"/>
    </row>
    <row r="714" ht="15.75" customHeight="1">
      <c r="A714" s="2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22"/>
      <c r="AO714" s="22"/>
      <c r="AP714" s="22"/>
    </row>
    <row r="715" ht="15.75" customHeight="1">
      <c r="A715" s="2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22"/>
      <c r="AO715" s="22"/>
      <c r="AP715" s="22"/>
    </row>
    <row r="716" ht="15.75" customHeight="1">
      <c r="A716" s="2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22"/>
      <c r="AO716" s="22"/>
      <c r="AP716" s="22"/>
    </row>
    <row r="717" ht="15.75" customHeight="1">
      <c r="A717" s="2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22"/>
      <c r="AO717" s="22"/>
      <c r="AP717" s="22"/>
    </row>
    <row r="718" ht="15.75" customHeight="1">
      <c r="A718" s="2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22"/>
      <c r="AO718" s="22"/>
      <c r="AP718" s="22"/>
    </row>
    <row r="719" ht="15.75" customHeight="1">
      <c r="A719" s="2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22"/>
      <c r="AO719" s="22"/>
      <c r="AP719" s="22"/>
    </row>
    <row r="720" ht="15.75" customHeight="1">
      <c r="A720" s="2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22"/>
      <c r="AO720" s="22"/>
      <c r="AP720" s="22"/>
    </row>
    <row r="721" ht="15.75" customHeight="1">
      <c r="A721" s="2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22"/>
      <c r="AO721" s="22"/>
      <c r="AP721" s="22"/>
    </row>
    <row r="722" ht="15.75" customHeight="1">
      <c r="A722" s="2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22"/>
      <c r="AO722" s="22"/>
      <c r="AP722" s="22"/>
    </row>
    <row r="723" ht="15.75" customHeight="1">
      <c r="A723" s="2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22"/>
      <c r="AO723" s="22"/>
      <c r="AP723" s="22"/>
    </row>
    <row r="724" ht="15.75" customHeight="1">
      <c r="A724" s="2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22"/>
      <c r="AO724" s="22"/>
      <c r="AP724" s="22"/>
    </row>
    <row r="725" ht="15.75" customHeight="1">
      <c r="A725" s="2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22"/>
      <c r="AO725" s="22"/>
      <c r="AP725" s="22"/>
    </row>
    <row r="726" ht="15.75" customHeight="1">
      <c r="A726" s="2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22"/>
      <c r="AO726" s="22"/>
      <c r="AP726" s="22"/>
    </row>
    <row r="727" ht="15.75" customHeight="1">
      <c r="A727" s="2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22"/>
      <c r="AO727" s="22"/>
      <c r="AP727" s="22"/>
    </row>
    <row r="728" ht="15.75" customHeight="1">
      <c r="A728" s="2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22"/>
      <c r="AO728" s="22"/>
      <c r="AP728" s="22"/>
    </row>
    <row r="729" ht="15.75" customHeight="1">
      <c r="A729" s="2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22"/>
      <c r="AO729" s="22"/>
      <c r="AP729" s="22"/>
    </row>
    <row r="730" ht="15.75" customHeight="1">
      <c r="A730" s="2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22"/>
      <c r="AO730" s="22"/>
      <c r="AP730" s="22"/>
    </row>
    <row r="731" ht="15.75" customHeight="1">
      <c r="A731" s="2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22"/>
      <c r="AO731" s="22"/>
      <c r="AP731" s="22"/>
    </row>
    <row r="732" ht="15.75" customHeight="1">
      <c r="A732" s="2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22"/>
      <c r="AO732" s="22"/>
      <c r="AP732" s="22"/>
    </row>
    <row r="733" ht="15.75" customHeight="1">
      <c r="A733" s="2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22"/>
      <c r="AO733" s="22"/>
      <c r="AP733" s="22"/>
    </row>
    <row r="734" ht="15.75" customHeight="1">
      <c r="A734" s="2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22"/>
      <c r="AO734" s="22"/>
      <c r="AP734" s="22"/>
    </row>
    <row r="735" ht="15.75" customHeight="1">
      <c r="A735" s="2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22"/>
      <c r="AO735" s="22"/>
      <c r="AP735" s="22"/>
    </row>
    <row r="736" ht="15.75" customHeight="1">
      <c r="A736" s="2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22"/>
      <c r="AO736" s="22"/>
      <c r="AP736" s="22"/>
    </row>
    <row r="737" ht="15.75" customHeight="1">
      <c r="A737" s="2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22"/>
      <c r="AO737" s="22"/>
      <c r="AP737" s="22"/>
    </row>
    <row r="738" ht="15.75" customHeight="1">
      <c r="A738" s="2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22"/>
      <c r="AO738" s="22"/>
      <c r="AP738" s="22"/>
    </row>
    <row r="739" ht="15.75" customHeight="1">
      <c r="A739" s="2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22"/>
      <c r="AO739" s="22"/>
      <c r="AP739" s="22"/>
    </row>
    <row r="740" ht="15.75" customHeight="1">
      <c r="A740" s="2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22"/>
      <c r="AO740" s="22"/>
      <c r="AP740" s="22"/>
    </row>
    <row r="741" ht="15.75" customHeight="1">
      <c r="A741" s="2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22"/>
      <c r="AO741" s="22"/>
      <c r="AP741" s="22"/>
    </row>
    <row r="742" ht="15.75" customHeight="1">
      <c r="A742" s="2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22"/>
      <c r="AO742" s="22"/>
      <c r="AP742" s="22"/>
    </row>
    <row r="743" ht="15.75" customHeight="1">
      <c r="A743" s="2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22"/>
      <c r="AO743" s="22"/>
      <c r="AP743" s="22"/>
    </row>
    <row r="744" ht="15.75" customHeight="1">
      <c r="A744" s="2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22"/>
      <c r="AO744" s="22"/>
      <c r="AP744" s="22"/>
    </row>
    <row r="745" ht="15.75" customHeight="1">
      <c r="A745" s="2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22"/>
      <c r="AO745" s="22"/>
      <c r="AP745" s="22"/>
    </row>
    <row r="746" ht="15.75" customHeight="1">
      <c r="A746" s="2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22"/>
      <c r="AO746" s="22"/>
      <c r="AP746" s="22"/>
    </row>
    <row r="747" ht="15.75" customHeight="1">
      <c r="A747" s="2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22"/>
      <c r="AO747" s="22"/>
      <c r="AP747" s="22"/>
    </row>
    <row r="748" ht="15.75" customHeight="1">
      <c r="A748" s="2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22"/>
      <c r="AO748" s="22"/>
      <c r="AP748" s="22"/>
    </row>
    <row r="749" ht="15.75" customHeight="1">
      <c r="A749" s="2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22"/>
      <c r="AO749" s="22"/>
      <c r="AP749" s="22"/>
    </row>
    <row r="750" ht="15.75" customHeight="1">
      <c r="A750" s="2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22"/>
      <c r="AO750" s="22"/>
      <c r="AP750" s="22"/>
    </row>
    <row r="751" ht="15.75" customHeight="1">
      <c r="A751" s="2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22"/>
      <c r="AO751" s="22"/>
      <c r="AP751" s="22"/>
    </row>
    <row r="752" ht="15.75" customHeight="1">
      <c r="A752" s="2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22"/>
      <c r="AO752" s="22"/>
      <c r="AP752" s="22"/>
    </row>
    <row r="753" ht="15.75" customHeight="1">
      <c r="A753" s="2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22"/>
      <c r="AO753" s="22"/>
      <c r="AP753" s="22"/>
    </row>
    <row r="754" ht="15.75" customHeight="1">
      <c r="A754" s="2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22"/>
      <c r="AO754" s="22"/>
      <c r="AP754" s="22"/>
    </row>
    <row r="755" ht="15.75" customHeight="1">
      <c r="A755" s="2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22"/>
      <c r="AO755" s="22"/>
      <c r="AP755" s="22"/>
    </row>
    <row r="756" ht="15.75" customHeight="1">
      <c r="A756" s="2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22"/>
      <c r="AO756" s="22"/>
      <c r="AP756" s="22"/>
    </row>
    <row r="757" ht="15.75" customHeight="1">
      <c r="A757" s="2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22"/>
      <c r="AO757" s="22"/>
      <c r="AP757" s="22"/>
    </row>
    <row r="758" ht="15.75" customHeight="1">
      <c r="A758" s="2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22"/>
      <c r="AO758" s="22"/>
      <c r="AP758" s="22"/>
    </row>
    <row r="759" ht="15.75" customHeight="1">
      <c r="A759" s="2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22"/>
      <c r="AO759" s="22"/>
      <c r="AP759" s="22"/>
    </row>
    <row r="760" ht="15.75" customHeight="1">
      <c r="A760" s="2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22"/>
      <c r="AO760" s="22"/>
      <c r="AP760" s="22"/>
    </row>
    <row r="761" ht="15.75" customHeight="1">
      <c r="A761" s="2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22"/>
      <c r="AO761" s="22"/>
      <c r="AP761" s="22"/>
    </row>
    <row r="762" ht="15.75" customHeight="1">
      <c r="A762" s="2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22"/>
      <c r="AO762" s="22"/>
      <c r="AP762" s="22"/>
    </row>
    <row r="763" ht="15.75" customHeight="1">
      <c r="A763" s="2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22"/>
      <c r="AO763" s="22"/>
      <c r="AP763" s="22"/>
    </row>
    <row r="764" ht="15.75" customHeight="1">
      <c r="A764" s="2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22"/>
      <c r="AO764" s="22"/>
      <c r="AP764" s="22"/>
    </row>
    <row r="765" ht="15.75" customHeight="1">
      <c r="A765" s="2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22"/>
      <c r="AO765" s="22"/>
      <c r="AP765" s="22"/>
    </row>
    <row r="766" ht="15.75" customHeight="1">
      <c r="A766" s="2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22"/>
      <c r="AO766" s="22"/>
      <c r="AP766" s="22"/>
    </row>
    <row r="767" ht="15.75" customHeight="1">
      <c r="A767" s="2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22"/>
      <c r="AO767" s="22"/>
      <c r="AP767" s="22"/>
    </row>
    <row r="768" ht="15.75" customHeight="1">
      <c r="A768" s="2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22"/>
      <c r="AO768" s="22"/>
      <c r="AP768" s="22"/>
    </row>
    <row r="769" ht="15.75" customHeight="1">
      <c r="A769" s="2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22"/>
      <c r="AO769" s="22"/>
      <c r="AP769" s="22"/>
    </row>
    <row r="770" ht="15.75" customHeight="1">
      <c r="A770" s="2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22"/>
      <c r="AO770" s="22"/>
      <c r="AP770" s="22"/>
    </row>
    <row r="771" ht="15.75" customHeight="1">
      <c r="A771" s="2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22"/>
      <c r="AO771" s="22"/>
      <c r="AP771" s="22"/>
    </row>
    <row r="772" ht="15.75" customHeight="1">
      <c r="A772" s="2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22"/>
      <c r="AO772" s="22"/>
      <c r="AP772" s="22"/>
    </row>
    <row r="773" ht="15.75" customHeight="1">
      <c r="A773" s="2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  <c r="AN773" s="22"/>
      <c r="AO773" s="22"/>
      <c r="AP773" s="22"/>
    </row>
    <row r="774" ht="15.75" customHeight="1">
      <c r="A774" s="2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22"/>
      <c r="AO774" s="22"/>
      <c r="AP774" s="22"/>
    </row>
    <row r="775" ht="15.75" customHeight="1">
      <c r="A775" s="2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22"/>
      <c r="AO775" s="22"/>
      <c r="AP775" s="22"/>
    </row>
    <row r="776" ht="15.75" customHeight="1">
      <c r="A776" s="2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22"/>
      <c r="AO776" s="22"/>
      <c r="AP776" s="22"/>
    </row>
    <row r="777" ht="15.75" customHeight="1">
      <c r="A777" s="2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22"/>
      <c r="AO777" s="22"/>
      <c r="AP777" s="22"/>
    </row>
    <row r="778" ht="15.75" customHeight="1">
      <c r="A778" s="2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22"/>
      <c r="AO778" s="22"/>
      <c r="AP778" s="22"/>
    </row>
    <row r="779" ht="15.75" customHeight="1">
      <c r="A779" s="2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  <c r="AN779" s="22"/>
      <c r="AO779" s="22"/>
      <c r="AP779" s="22"/>
    </row>
    <row r="780" ht="15.75" customHeight="1">
      <c r="A780" s="2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22"/>
      <c r="AO780" s="22"/>
      <c r="AP780" s="22"/>
    </row>
    <row r="781" ht="15.75" customHeight="1">
      <c r="A781" s="2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  <c r="AN781" s="22"/>
      <c r="AO781" s="22"/>
      <c r="AP781" s="22"/>
    </row>
    <row r="782" ht="15.75" customHeight="1">
      <c r="A782" s="2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22"/>
      <c r="AO782" s="22"/>
      <c r="AP782" s="22"/>
    </row>
    <row r="783" ht="15.75" customHeight="1">
      <c r="A783" s="2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  <c r="AN783" s="22"/>
      <c r="AO783" s="22"/>
      <c r="AP783" s="22"/>
    </row>
    <row r="784" ht="15.75" customHeight="1">
      <c r="A784" s="2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22"/>
      <c r="AO784" s="22"/>
      <c r="AP784" s="22"/>
    </row>
    <row r="785" ht="15.75" customHeight="1">
      <c r="A785" s="2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  <c r="AN785" s="22"/>
      <c r="AO785" s="22"/>
      <c r="AP785" s="22"/>
    </row>
    <row r="786" ht="15.75" customHeight="1">
      <c r="A786" s="2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22"/>
      <c r="AO786" s="22"/>
      <c r="AP786" s="22"/>
    </row>
    <row r="787" ht="15.75" customHeight="1">
      <c r="A787" s="2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  <c r="AN787" s="22"/>
      <c r="AO787" s="22"/>
      <c r="AP787" s="22"/>
    </row>
    <row r="788" ht="15.75" customHeight="1">
      <c r="A788" s="2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22"/>
      <c r="AO788" s="22"/>
      <c r="AP788" s="22"/>
    </row>
    <row r="789" ht="15.75" customHeight="1">
      <c r="A789" s="2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  <c r="AN789" s="22"/>
      <c r="AO789" s="22"/>
      <c r="AP789" s="22"/>
    </row>
    <row r="790" ht="15.75" customHeight="1">
      <c r="A790" s="2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22"/>
      <c r="AO790" s="22"/>
      <c r="AP790" s="22"/>
    </row>
    <row r="791" ht="15.75" customHeight="1">
      <c r="A791" s="2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  <c r="AN791" s="22"/>
      <c r="AO791" s="22"/>
      <c r="AP791" s="22"/>
    </row>
    <row r="792" ht="15.75" customHeight="1">
      <c r="A792" s="2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22"/>
      <c r="AO792" s="22"/>
      <c r="AP792" s="22"/>
    </row>
    <row r="793" ht="15.75" customHeight="1">
      <c r="A793" s="2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22"/>
      <c r="AO793" s="22"/>
      <c r="AP793" s="22"/>
    </row>
    <row r="794" ht="15.75" customHeight="1">
      <c r="A794" s="2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22"/>
      <c r="AO794" s="22"/>
      <c r="AP794" s="22"/>
    </row>
    <row r="795" ht="15.75" customHeight="1">
      <c r="A795" s="2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22"/>
      <c r="AO795" s="22"/>
      <c r="AP795" s="22"/>
    </row>
    <row r="796" ht="15.75" customHeight="1">
      <c r="A796" s="2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22"/>
      <c r="AO796" s="22"/>
      <c r="AP796" s="22"/>
    </row>
    <row r="797" ht="15.75" customHeight="1">
      <c r="A797" s="2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22"/>
      <c r="AO797" s="22"/>
      <c r="AP797" s="22"/>
    </row>
    <row r="798" ht="15.75" customHeight="1">
      <c r="A798" s="2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22"/>
      <c r="AO798" s="22"/>
      <c r="AP798" s="22"/>
    </row>
    <row r="799" ht="15.75" customHeight="1">
      <c r="A799" s="2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22"/>
      <c r="AO799" s="22"/>
      <c r="AP799" s="22"/>
    </row>
    <row r="800" ht="15.75" customHeight="1">
      <c r="A800" s="2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22"/>
      <c r="AO800" s="22"/>
      <c r="AP800" s="22"/>
    </row>
    <row r="801" ht="15.75" customHeight="1">
      <c r="A801" s="2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22"/>
      <c r="AO801" s="22"/>
      <c r="AP801" s="22"/>
    </row>
    <row r="802" ht="15.75" customHeight="1">
      <c r="A802" s="2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22"/>
      <c r="AO802" s="22"/>
      <c r="AP802" s="22"/>
    </row>
    <row r="803" ht="15.75" customHeight="1">
      <c r="A803" s="2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22"/>
      <c r="AO803" s="22"/>
      <c r="AP803" s="22"/>
    </row>
    <row r="804" ht="15.75" customHeight="1">
      <c r="A804" s="2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22"/>
      <c r="AO804" s="22"/>
      <c r="AP804" s="22"/>
    </row>
    <row r="805" ht="15.75" customHeight="1">
      <c r="A805" s="2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22"/>
      <c r="AO805" s="22"/>
      <c r="AP805" s="22"/>
    </row>
    <row r="806" ht="15.75" customHeight="1">
      <c r="A806" s="2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22"/>
      <c r="AO806" s="22"/>
      <c r="AP806" s="22"/>
    </row>
    <row r="807" ht="15.75" customHeight="1">
      <c r="A807" s="2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22"/>
      <c r="AO807" s="22"/>
      <c r="AP807" s="22"/>
    </row>
    <row r="808" ht="15.75" customHeight="1">
      <c r="A808" s="2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22"/>
      <c r="AO808" s="22"/>
      <c r="AP808" s="22"/>
    </row>
    <row r="809" ht="15.75" customHeight="1">
      <c r="A809" s="2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22"/>
      <c r="AO809" s="22"/>
      <c r="AP809" s="22"/>
    </row>
    <row r="810" ht="15.75" customHeight="1">
      <c r="A810" s="2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22"/>
      <c r="AO810" s="22"/>
      <c r="AP810" s="22"/>
    </row>
    <row r="811" ht="15.75" customHeight="1">
      <c r="A811" s="2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22"/>
      <c r="AO811" s="22"/>
      <c r="AP811" s="22"/>
    </row>
    <row r="812" ht="15.75" customHeight="1">
      <c r="A812" s="2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22"/>
      <c r="AO812" s="22"/>
      <c r="AP812" s="22"/>
    </row>
    <row r="813" ht="15.75" customHeight="1">
      <c r="A813" s="2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22"/>
      <c r="AO813" s="22"/>
      <c r="AP813" s="22"/>
    </row>
    <row r="814" ht="15.75" customHeight="1">
      <c r="A814" s="2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22"/>
      <c r="AO814" s="22"/>
      <c r="AP814" s="22"/>
    </row>
    <row r="815" ht="15.75" customHeight="1">
      <c r="A815" s="2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22"/>
      <c r="AO815" s="22"/>
      <c r="AP815" s="22"/>
    </row>
    <row r="816" ht="15.75" customHeight="1">
      <c r="A816" s="2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22"/>
      <c r="AO816" s="22"/>
      <c r="AP816" s="22"/>
    </row>
    <row r="817" ht="15.75" customHeight="1">
      <c r="A817" s="2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22"/>
      <c r="AO817" s="22"/>
      <c r="AP817" s="22"/>
    </row>
    <row r="818" ht="15.75" customHeight="1">
      <c r="A818" s="2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22"/>
      <c r="AO818" s="22"/>
      <c r="AP818" s="22"/>
    </row>
    <row r="819" ht="15.75" customHeight="1">
      <c r="A819" s="2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22"/>
      <c r="AO819" s="22"/>
      <c r="AP819" s="22"/>
    </row>
    <row r="820" ht="15.75" customHeight="1">
      <c r="A820" s="2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22"/>
      <c r="AO820" s="22"/>
      <c r="AP820" s="22"/>
    </row>
    <row r="821" ht="15.75" customHeight="1">
      <c r="A821" s="2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22"/>
      <c r="AO821" s="22"/>
      <c r="AP821" s="22"/>
    </row>
    <row r="822" ht="15.75" customHeight="1">
      <c r="A822" s="2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22"/>
      <c r="AO822" s="22"/>
      <c r="AP822" s="22"/>
    </row>
    <row r="823" ht="15.75" customHeight="1">
      <c r="A823" s="2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22"/>
      <c r="AO823" s="22"/>
      <c r="AP823" s="22"/>
    </row>
    <row r="824" ht="15.75" customHeight="1">
      <c r="A824" s="2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22"/>
      <c r="AO824" s="22"/>
      <c r="AP824" s="22"/>
    </row>
    <row r="825" ht="15.75" customHeight="1">
      <c r="A825" s="2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22"/>
      <c r="AO825" s="22"/>
      <c r="AP825" s="22"/>
    </row>
    <row r="826" ht="15.75" customHeight="1">
      <c r="A826" s="2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22"/>
      <c r="AO826" s="22"/>
      <c r="AP826" s="22"/>
    </row>
    <row r="827" ht="15.75" customHeight="1">
      <c r="A827" s="2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22"/>
      <c r="AO827" s="22"/>
      <c r="AP827" s="22"/>
    </row>
    <row r="828" ht="15.75" customHeight="1">
      <c r="A828" s="2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22"/>
      <c r="AO828" s="22"/>
      <c r="AP828" s="22"/>
    </row>
    <row r="829" ht="15.75" customHeight="1">
      <c r="A829" s="2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22"/>
      <c r="AO829" s="22"/>
      <c r="AP829" s="22"/>
    </row>
    <row r="830" ht="15.75" customHeight="1">
      <c r="A830" s="2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22"/>
      <c r="AO830" s="22"/>
      <c r="AP830" s="22"/>
    </row>
    <row r="831" ht="15.75" customHeight="1">
      <c r="A831" s="2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22"/>
      <c r="AO831" s="22"/>
      <c r="AP831" s="22"/>
    </row>
    <row r="832" ht="15.75" customHeight="1">
      <c r="A832" s="2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22"/>
      <c r="AO832" s="22"/>
      <c r="AP832" s="22"/>
    </row>
    <row r="833" ht="15.75" customHeight="1">
      <c r="A833" s="2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22"/>
      <c r="AO833" s="22"/>
      <c r="AP833" s="22"/>
    </row>
    <row r="834" ht="15.75" customHeight="1">
      <c r="A834" s="2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22"/>
      <c r="AO834" s="22"/>
      <c r="AP834" s="22"/>
    </row>
    <row r="835" ht="15.75" customHeight="1">
      <c r="A835" s="2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22"/>
      <c r="AO835" s="22"/>
      <c r="AP835" s="22"/>
    </row>
    <row r="836" ht="15.75" customHeight="1">
      <c r="A836" s="2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22"/>
      <c r="AO836" s="22"/>
      <c r="AP836" s="22"/>
    </row>
    <row r="837" ht="15.75" customHeight="1">
      <c r="A837" s="2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22"/>
      <c r="AO837" s="22"/>
      <c r="AP837" s="22"/>
    </row>
    <row r="838" ht="15.75" customHeight="1">
      <c r="A838" s="2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22"/>
      <c r="AO838" s="22"/>
      <c r="AP838" s="22"/>
    </row>
    <row r="839" ht="15.75" customHeight="1">
      <c r="A839" s="2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22"/>
      <c r="AO839" s="22"/>
      <c r="AP839" s="22"/>
    </row>
    <row r="840" ht="15.75" customHeight="1">
      <c r="A840" s="2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22"/>
      <c r="AO840" s="22"/>
      <c r="AP840" s="22"/>
    </row>
    <row r="841" ht="15.75" customHeight="1">
      <c r="A841" s="2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22"/>
      <c r="AO841" s="22"/>
      <c r="AP841" s="22"/>
    </row>
    <row r="842" ht="15.75" customHeight="1">
      <c r="A842" s="2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22"/>
      <c r="AO842" s="22"/>
      <c r="AP842" s="22"/>
    </row>
    <row r="843" ht="15.75" customHeight="1">
      <c r="A843" s="2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22"/>
      <c r="AO843" s="22"/>
      <c r="AP843" s="22"/>
    </row>
    <row r="844" ht="15.75" customHeight="1">
      <c r="A844" s="2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22"/>
      <c r="AO844" s="22"/>
      <c r="AP844" s="22"/>
    </row>
    <row r="845" ht="15.75" customHeight="1">
      <c r="A845" s="2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22"/>
      <c r="AO845" s="22"/>
      <c r="AP845" s="22"/>
    </row>
    <row r="846" ht="15.75" customHeight="1">
      <c r="A846" s="2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22"/>
      <c r="AO846" s="22"/>
      <c r="AP846" s="22"/>
    </row>
    <row r="847" ht="15.75" customHeight="1">
      <c r="A847" s="2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22"/>
      <c r="AO847" s="22"/>
      <c r="AP847" s="22"/>
    </row>
    <row r="848" ht="15.75" customHeight="1">
      <c r="A848" s="2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22"/>
      <c r="AO848" s="22"/>
      <c r="AP848" s="22"/>
    </row>
    <row r="849" ht="15.75" customHeight="1">
      <c r="A849" s="2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22"/>
      <c r="AO849" s="22"/>
      <c r="AP849" s="22"/>
    </row>
    <row r="850" ht="15.75" customHeight="1">
      <c r="A850" s="2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22"/>
      <c r="AO850" s="22"/>
      <c r="AP850" s="22"/>
    </row>
    <row r="851" ht="15.75" customHeight="1">
      <c r="A851" s="2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22"/>
      <c r="AO851" s="22"/>
      <c r="AP851" s="22"/>
    </row>
    <row r="852" ht="15.75" customHeight="1">
      <c r="A852" s="2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22"/>
      <c r="AO852" s="22"/>
      <c r="AP852" s="22"/>
    </row>
    <row r="853" ht="15.75" customHeight="1">
      <c r="A853" s="2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22"/>
      <c r="AO853" s="22"/>
      <c r="AP853" s="22"/>
    </row>
    <row r="854" ht="15.75" customHeight="1">
      <c r="A854" s="2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22"/>
      <c r="AO854" s="22"/>
      <c r="AP854" s="22"/>
    </row>
    <row r="855" ht="15.75" customHeight="1">
      <c r="A855" s="2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22"/>
      <c r="AO855" s="22"/>
      <c r="AP855" s="22"/>
    </row>
    <row r="856" ht="15.75" customHeight="1">
      <c r="A856" s="2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22"/>
      <c r="AO856" s="22"/>
      <c r="AP856" s="22"/>
    </row>
    <row r="857" ht="15.75" customHeight="1">
      <c r="A857" s="2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22"/>
      <c r="AO857" s="22"/>
      <c r="AP857" s="22"/>
    </row>
    <row r="858" ht="15.75" customHeight="1">
      <c r="A858" s="2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22"/>
      <c r="AO858" s="22"/>
      <c r="AP858" s="22"/>
    </row>
    <row r="859" ht="15.75" customHeight="1">
      <c r="A859" s="2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22"/>
      <c r="AO859" s="22"/>
      <c r="AP859" s="22"/>
    </row>
    <row r="860" ht="15.75" customHeight="1">
      <c r="A860" s="2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22"/>
      <c r="AO860" s="22"/>
      <c r="AP860" s="22"/>
    </row>
    <row r="861" ht="15.75" customHeight="1">
      <c r="A861" s="2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22"/>
      <c r="AO861" s="22"/>
      <c r="AP861" s="22"/>
    </row>
    <row r="862" ht="15.75" customHeight="1">
      <c r="A862" s="2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22"/>
      <c r="AO862" s="22"/>
      <c r="AP862" s="22"/>
    </row>
    <row r="863" ht="15.75" customHeight="1">
      <c r="A863" s="2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22"/>
      <c r="AO863" s="22"/>
      <c r="AP863" s="22"/>
    </row>
    <row r="864" ht="15.75" customHeight="1">
      <c r="A864" s="2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22"/>
      <c r="AO864" s="22"/>
      <c r="AP864" s="22"/>
    </row>
    <row r="865" ht="15.75" customHeight="1">
      <c r="A865" s="2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22"/>
      <c r="AO865" s="22"/>
      <c r="AP865" s="22"/>
    </row>
    <row r="866" ht="15.75" customHeight="1">
      <c r="A866" s="2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22"/>
      <c r="AO866" s="22"/>
      <c r="AP866" s="22"/>
    </row>
    <row r="867" ht="15.75" customHeight="1">
      <c r="A867" s="2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22"/>
      <c r="AO867" s="22"/>
      <c r="AP867" s="22"/>
    </row>
    <row r="868" ht="15.75" customHeight="1">
      <c r="A868" s="2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22"/>
      <c r="AO868" s="22"/>
      <c r="AP868" s="22"/>
    </row>
    <row r="869" ht="15.75" customHeight="1">
      <c r="A869" s="2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22"/>
      <c r="AO869" s="22"/>
      <c r="AP869" s="22"/>
    </row>
    <row r="870" ht="15.75" customHeight="1">
      <c r="A870" s="2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22"/>
      <c r="AO870" s="22"/>
      <c r="AP870" s="22"/>
    </row>
    <row r="871" ht="15.75" customHeight="1">
      <c r="A871" s="2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22"/>
      <c r="AO871" s="22"/>
      <c r="AP871" s="22"/>
    </row>
    <row r="872" ht="15.75" customHeight="1">
      <c r="A872" s="2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22"/>
      <c r="AO872" s="22"/>
      <c r="AP872" s="22"/>
    </row>
    <row r="873" ht="15.75" customHeight="1">
      <c r="A873" s="2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22"/>
      <c r="AO873" s="22"/>
      <c r="AP873" s="22"/>
    </row>
    <row r="874" ht="15.75" customHeight="1">
      <c r="A874" s="2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22"/>
      <c r="AO874" s="22"/>
      <c r="AP874" s="22"/>
    </row>
    <row r="875" ht="15.75" customHeight="1">
      <c r="A875" s="2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22"/>
      <c r="AO875" s="22"/>
      <c r="AP875" s="22"/>
    </row>
    <row r="876" ht="15.75" customHeight="1">
      <c r="A876" s="2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22"/>
      <c r="AO876" s="22"/>
      <c r="AP876" s="22"/>
    </row>
    <row r="877" ht="15.75" customHeight="1">
      <c r="A877" s="2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22"/>
      <c r="AO877" s="22"/>
      <c r="AP877" s="22"/>
    </row>
    <row r="878" ht="15.75" customHeight="1">
      <c r="A878" s="2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22"/>
      <c r="AO878" s="22"/>
      <c r="AP878" s="22"/>
    </row>
    <row r="879" ht="15.75" customHeight="1">
      <c r="A879" s="2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22"/>
      <c r="AO879" s="22"/>
      <c r="AP879" s="22"/>
    </row>
    <row r="880" ht="15.75" customHeight="1">
      <c r="A880" s="2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22"/>
      <c r="AO880" s="22"/>
      <c r="AP880" s="22"/>
    </row>
    <row r="881" ht="15.75" customHeight="1">
      <c r="A881" s="2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  <c r="AN881" s="22"/>
      <c r="AO881" s="22"/>
      <c r="AP881" s="22"/>
    </row>
    <row r="882" ht="15.75" customHeight="1">
      <c r="A882" s="2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22"/>
      <c r="AO882" s="22"/>
      <c r="AP882" s="22"/>
    </row>
    <row r="883" ht="15.75" customHeight="1">
      <c r="A883" s="2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  <c r="AN883" s="22"/>
      <c r="AO883" s="22"/>
      <c r="AP883" s="22"/>
    </row>
    <row r="884" ht="15.75" customHeight="1">
      <c r="A884" s="2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22"/>
      <c r="AO884" s="22"/>
      <c r="AP884" s="22"/>
    </row>
    <row r="885" ht="15.75" customHeight="1">
      <c r="A885" s="2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  <c r="AN885" s="22"/>
      <c r="AO885" s="22"/>
      <c r="AP885" s="22"/>
    </row>
    <row r="886" ht="15.75" customHeight="1">
      <c r="A886" s="2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22"/>
      <c r="AO886" s="22"/>
      <c r="AP886" s="22"/>
    </row>
    <row r="887" ht="15.75" customHeight="1">
      <c r="A887" s="2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22"/>
      <c r="AO887" s="22"/>
      <c r="AP887" s="22"/>
    </row>
    <row r="888" ht="15.75" customHeight="1">
      <c r="A888" s="2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22"/>
      <c r="AO888" s="22"/>
      <c r="AP888" s="22"/>
    </row>
    <row r="889" ht="15.75" customHeight="1">
      <c r="A889" s="2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  <c r="AN889" s="22"/>
      <c r="AO889" s="22"/>
      <c r="AP889" s="22"/>
    </row>
    <row r="890" ht="15.75" customHeight="1">
      <c r="A890" s="2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22"/>
      <c r="AO890" s="22"/>
      <c r="AP890" s="22"/>
    </row>
    <row r="891" ht="15.75" customHeight="1">
      <c r="A891" s="2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  <c r="AN891" s="22"/>
      <c r="AO891" s="22"/>
      <c r="AP891" s="22"/>
    </row>
    <row r="892" ht="15.75" customHeight="1">
      <c r="A892" s="2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22"/>
      <c r="AO892" s="22"/>
      <c r="AP892" s="22"/>
    </row>
    <row r="893" ht="15.75" customHeight="1">
      <c r="A893" s="2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22"/>
      <c r="AO893" s="22"/>
      <c r="AP893" s="22"/>
    </row>
    <row r="894" ht="15.75" customHeight="1">
      <c r="A894" s="2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22"/>
      <c r="AO894" s="22"/>
      <c r="AP894" s="22"/>
    </row>
    <row r="895" ht="15.75" customHeight="1">
      <c r="A895" s="2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  <c r="AN895" s="22"/>
      <c r="AO895" s="22"/>
      <c r="AP895" s="22"/>
    </row>
    <row r="896" ht="15.75" customHeight="1">
      <c r="A896" s="2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22"/>
      <c r="AO896" s="22"/>
      <c r="AP896" s="22"/>
    </row>
    <row r="897" ht="15.75" customHeight="1">
      <c r="A897" s="2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  <c r="AN897" s="22"/>
      <c r="AO897" s="22"/>
      <c r="AP897" s="22"/>
    </row>
    <row r="898" ht="15.75" customHeight="1">
      <c r="A898" s="2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22"/>
      <c r="AO898" s="22"/>
      <c r="AP898" s="22"/>
    </row>
    <row r="899" ht="15.75" customHeight="1">
      <c r="A899" s="2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  <c r="AN899" s="22"/>
      <c r="AO899" s="22"/>
      <c r="AP899" s="22"/>
    </row>
    <row r="900" ht="15.75" customHeight="1">
      <c r="A900" s="2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22"/>
      <c r="AO900" s="22"/>
      <c r="AP900" s="22"/>
    </row>
    <row r="901" ht="15.75" customHeight="1">
      <c r="A901" s="2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  <c r="AN901" s="22"/>
      <c r="AO901" s="22"/>
      <c r="AP901" s="22"/>
    </row>
    <row r="902" ht="15.75" customHeight="1">
      <c r="A902" s="2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22"/>
      <c r="AO902" s="22"/>
      <c r="AP902" s="22"/>
    </row>
    <row r="903" ht="15.75" customHeight="1">
      <c r="A903" s="2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  <c r="AN903" s="22"/>
      <c r="AO903" s="22"/>
      <c r="AP903" s="22"/>
    </row>
    <row r="904" ht="15.75" customHeight="1">
      <c r="A904" s="2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22"/>
      <c r="AO904" s="22"/>
      <c r="AP904" s="22"/>
    </row>
    <row r="905" ht="15.75" customHeight="1">
      <c r="A905" s="2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22"/>
      <c r="AO905" s="22"/>
      <c r="AP905" s="22"/>
    </row>
    <row r="906" ht="15.75" customHeight="1">
      <c r="A906" s="2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22"/>
      <c r="AO906" s="22"/>
      <c r="AP906" s="22"/>
    </row>
    <row r="907" ht="15.75" customHeight="1">
      <c r="A907" s="2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  <c r="AN907" s="22"/>
      <c r="AO907" s="22"/>
      <c r="AP907" s="22"/>
    </row>
    <row r="908" ht="15.75" customHeight="1">
      <c r="A908" s="2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22"/>
      <c r="AO908" s="22"/>
      <c r="AP908" s="22"/>
    </row>
    <row r="909" ht="15.75" customHeight="1">
      <c r="A909" s="2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  <c r="AN909" s="22"/>
      <c r="AO909" s="22"/>
      <c r="AP909" s="22"/>
    </row>
    <row r="910" ht="15.75" customHeight="1">
      <c r="A910" s="2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22"/>
      <c r="AO910" s="22"/>
      <c r="AP910" s="22"/>
    </row>
    <row r="911" ht="15.75" customHeight="1">
      <c r="A911" s="2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  <c r="AN911" s="22"/>
      <c r="AO911" s="22"/>
      <c r="AP911" s="22"/>
    </row>
    <row r="912" ht="15.75" customHeight="1">
      <c r="A912" s="2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22"/>
      <c r="AO912" s="22"/>
      <c r="AP912" s="22"/>
    </row>
    <row r="913" ht="15.75" customHeight="1">
      <c r="A913" s="2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  <c r="AN913" s="22"/>
      <c r="AO913" s="22"/>
      <c r="AP913" s="22"/>
    </row>
    <row r="914" ht="15.75" customHeight="1">
      <c r="A914" s="2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22"/>
      <c r="AO914" s="22"/>
      <c r="AP914" s="22"/>
    </row>
    <row r="915" ht="15.75" customHeight="1">
      <c r="A915" s="2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  <c r="AN915" s="22"/>
      <c r="AO915" s="22"/>
      <c r="AP915" s="22"/>
    </row>
    <row r="916" ht="15.75" customHeight="1">
      <c r="A916" s="2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22"/>
      <c r="AO916" s="22"/>
      <c r="AP916" s="22"/>
    </row>
    <row r="917" ht="15.75" customHeight="1">
      <c r="A917" s="2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  <c r="AN917" s="22"/>
      <c r="AO917" s="22"/>
      <c r="AP917" s="22"/>
    </row>
    <row r="918" ht="15.75" customHeight="1">
      <c r="A918" s="2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22"/>
      <c r="AO918" s="22"/>
      <c r="AP918" s="22"/>
    </row>
    <row r="919" ht="15.75" customHeight="1">
      <c r="A919" s="2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22"/>
      <c r="AO919" s="22"/>
      <c r="AP919" s="22"/>
    </row>
    <row r="920" ht="15.75" customHeight="1">
      <c r="A920" s="2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22"/>
      <c r="AO920" s="22"/>
      <c r="AP920" s="22"/>
    </row>
    <row r="921" ht="15.75" customHeight="1">
      <c r="A921" s="2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  <c r="AN921" s="22"/>
      <c r="AO921" s="22"/>
      <c r="AP921" s="22"/>
    </row>
    <row r="922" ht="15.75" customHeight="1">
      <c r="A922" s="2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22"/>
      <c r="AO922" s="22"/>
      <c r="AP922" s="22"/>
    </row>
    <row r="923" ht="15.75" customHeight="1">
      <c r="A923" s="2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  <c r="AN923" s="22"/>
      <c r="AO923" s="22"/>
      <c r="AP923" s="22"/>
    </row>
    <row r="924" ht="15.75" customHeight="1">
      <c r="A924" s="2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22"/>
      <c r="AO924" s="22"/>
      <c r="AP924" s="22"/>
    </row>
    <row r="925" ht="15.75" customHeight="1">
      <c r="A925" s="2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  <c r="AN925" s="22"/>
      <c r="AO925" s="22"/>
      <c r="AP925" s="22"/>
    </row>
    <row r="926" ht="15.75" customHeight="1">
      <c r="A926" s="2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22"/>
      <c r="AO926" s="22"/>
      <c r="AP926" s="22"/>
    </row>
    <row r="927" ht="15.75" customHeight="1">
      <c r="A927" s="2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  <c r="AN927" s="22"/>
      <c r="AO927" s="22"/>
      <c r="AP927" s="22"/>
    </row>
    <row r="928" ht="15.75" customHeight="1">
      <c r="A928" s="2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22"/>
      <c r="AO928" s="22"/>
      <c r="AP928" s="22"/>
    </row>
    <row r="929" ht="15.75" customHeight="1">
      <c r="A929" s="2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  <c r="AN929" s="22"/>
      <c r="AO929" s="22"/>
      <c r="AP929" s="22"/>
    </row>
    <row r="930" ht="15.75" customHeight="1">
      <c r="A930" s="2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22"/>
      <c r="AO930" s="22"/>
      <c r="AP930" s="22"/>
    </row>
    <row r="931" ht="15.75" customHeight="1">
      <c r="A931" s="2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  <c r="AN931" s="22"/>
      <c r="AO931" s="22"/>
      <c r="AP931" s="22"/>
    </row>
    <row r="932" ht="15.75" customHeight="1">
      <c r="A932" s="2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22"/>
      <c r="AO932" s="22"/>
      <c r="AP932" s="22"/>
    </row>
    <row r="933" ht="15.75" customHeight="1">
      <c r="A933" s="2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  <c r="AN933" s="22"/>
      <c r="AO933" s="22"/>
      <c r="AP933" s="22"/>
    </row>
    <row r="934" ht="15.75" customHeight="1">
      <c r="A934" s="2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22"/>
      <c r="AO934" s="22"/>
      <c r="AP934" s="22"/>
    </row>
    <row r="935" ht="15.75" customHeight="1">
      <c r="A935" s="2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  <c r="AN935" s="22"/>
      <c r="AO935" s="22"/>
      <c r="AP935" s="22"/>
    </row>
    <row r="936" ht="15.75" customHeight="1">
      <c r="A936" s="2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22"/>
      <c r="AO936" s="22"/>
      <c r="AP936" s="22"/>
    </row>
    <row r="937" ht="15.75" customHeight="1">
      <c r="A937" s="2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  <c r="AN937" s="22"/>
      <c r="AO937" s="22"/>
      <c r="AP937" s="22"/>
    </row>
    <row r="938" ht="15.75" customHeight="1">
      <c r="A938" s="2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22"/>
      <c r="AO938" s="22"/>
      <c r="AP938" s="22"/>
    </row>
    <row r="939" ht="15.75" customHeight="1">
      <c r="A939" s="2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22"/>
      <c r="AO939" s="22"/>
      <c r="AP939" s="22"/>
    </row>
    <row r="940" ht="15.75" customHeight="1">
      <c r="A940" s="2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22"/>
      <c r="AO940" s="22"/>
      <c r="AP940" s="22"/>
    </row>
    <row r="941" ht="15.75" customHeight="1">
      <c r="A941" s="2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  <c r="AN941" s="22"/>
      <c r="AO941" s="22"/>
      <c r="AP941" s="22"/>
    </row>
    <row r="942" ht="15.75" customHeight="1">
      <c r="A942" s="2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22"/>
      <c r="AO942" s="22"/>
      <c r="AP942" s="22"/>
    </row>
    <row r="943" ht="15.75" customHeight="1">
      <c r="A943" s="2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  <c r="AN943" s="22"/>
      <c r="AO943" s="22"/>
      <c r="AP943" s="22"/>
    </row>
    <row r="944" ht="15.75" customHeight="1">
      <c r="A944" s="2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22"/>
      <c r="AO944" s="22"/>
      <c r="AP944" s="22"/>
    </row>
    <row r="945" ht="15.75" customHeight="1">
      <c r="A945" s="2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  <c r="AN945" s="22"/>
      <c r="AO945" s="22"/>
      <c r="AP945" s="22"/>
    </row>
    <row r="946" ht="15.75" customHeight="1">
      <c r="A946" s="2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22"/>
      <c r="AO946" s="22"/>
      <c r="AP946" s="22"/>
    </row>
    <row r="947" ht="15.75" customHeight="1">
      <c r="A947" s="2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  <c r="AN947" s="22"/>
      <c r="AO947" s="22"/>
      <c r="AP947" s="22"/>
    </row>
    <row r="948" ht="15.75" customHeight="1">
      <c r="A948" s="2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22"/>
      <c r="AO948" s="22"/>
      <c r="AP948" s="22"/>
    </row>
    <row r="949" ht="15.75" customHeight="1">
      <c r="A949" s="2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22"/>
      <c r="AO949" s="22"/>
      <c r="AP949" s="22"/>
    </row>
    <row r="950" ht="15.75" customHeight="1">
      <c r="A950" s="2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22"/>
      <c r="AO950" s="22"/>
      <c r="AP950" s="22"/>
    </row>
    <row r="951" ht="15.75" customHeight="1">
      <c r="A951" s="2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22"/>
      <c r="AO951" s="22"/>
      <c r="AP951" s="22"/>
    </row>
    <row r="952" ht="15.75" customHeight="1">
      <c r="A952" s="2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22"/>
      <c r="AO952" s="22"/>
      <c r="AP952" s="22"/>
    </row>
    <row r="953" ht="15.75" customHeight="1">
      <c r="A953" s="2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  <c r="AN953" s="22"/>
      <c r="AO953" s="22"/>
      <c r="AP953" s="22"/>
    </row>
    <row r="954" ht="15.75" customHeight="1">
      <c r="A954" s="2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22"/>
      <c r="AO954" s="22"/>
      <c r="AP954" s="22"/>
    </row>
    <row r="955" ht="15.75" customHeight="1">
      <c r="A955" s="2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  <c r="AN955" s="22"/>
      <c r="AO955" s="22"/>
      <c r="AP955" s="22"/>
    </row>
    <row r="956" ht="15.75" customHeight="1">
      <c r="A956" s="2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22"/>
      <c r="AO956" s="22"/>
      <c r="AP956" s="22"/>
    </row>
    <row r="957" ht="15.75" customHeight="1">
      <c r="A957" s="2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  <c r="AN957" s="22"/>
      <c r="AO957" s="22"/>
      <c r="AP957" s="22"/>
    </row>
    <row r="958" ht="15.75" customHeight="1">
      <c r="A958" s="2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22"/>
      <c r="AO958" s="22"/>
      <c r="AP958" s="22"/>
    </row>
    <row r="959" ht="15.75" customHeight="1">
      <c r="A959" s="2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  <c r="AN959" s="22"/>
      <c r="AO959" s="22"/>
      <c r="AP959" s="22"/>
    </row>
    <row r="960" ht="15.75" customHeight="1">
      <c r="A960" s="2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22"/>
      <c r="AO960" s="22"/>
      <c r="AP960" s="22"/>
    </row>
    <row r="961" ht="15.75" customHeight="1">
      <c r="A961" s="2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  <c r="AN961" s="22"/>
      <c r="AO961" s="22"/>
      <c r="AP961" s="22"/>
    </row>
    <row r="962" ht="15.75" customHeight="1">
      <c r="A962" s="2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22"/>
      <c r="AO962" s="22"/>
      <c r="AP962" s="22"/>
    </row>
    <row r="963" ht="15.75" customHeight="1">
      <c r="A963" s="2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  <c r="AN963" s="22"/>
      <c r="AO963" s="22"/>
      <c r="AP963" s="22"/>
    </row>
    <row r="964" ht="15.75" customHeight="1">
      <c r="A964" s="2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22"/>
      <c r="AO964" s="22"/>
      <c r="AP964" s="22"/>
    </row>
    <row r="965" ht="15.75" customHeight="1">
      <c r="A965" s="2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  <c r="AN965" s="22"/>
      <c r="AO965" s="22"/>
      <c r="AP965" s="22"/>
    </row>
    <row r="966" ht="15.75" customHeight="1">
      <c r="A966" s="2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22"/>
      <c r="AO966" s="22"/>
      <c r="AP966" s="22"/>
    </row>
    <row r="967" ht="15.75" customHeight="1">
      <c r="A967" s="2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  <c r="AN967" s="22"/>
      <c r="AO967" s="22"/>
      <c r="AP967" s="22"/>
    </row>
    <row r="968" ht="15.75" customHeight="1">
      <c r="A968" s="2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22"/>
      <c r="AO968" s="22"/>
      <c r="AP968" s="22"/>
    </row>
    <row r="969" ht="15.75" customHeight="1">
      <c r="A969" s="2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22"/>
      <c r="AO969" s="22"/>
      <c r="AP969" s="22"/>
    </row>
    <row r="970" ht="15.75" customHeight="1">
      <c r="A970" s="2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22"/>
      <c r="AO970" s="22"/>
      <c r="AP970" s="22"/>
    </row>
    <row r="971" ht="15.75" customHeight="1">
      <c r="A971" s="2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  <c r="AN971" s="22"/>
      <c r="AO971" s="22"/>
      <c r="AP971" s="22"/>
    </row>
    <row r="972" ht="15.75" customHeight="1">
      <c r="A972" s="2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22"/>
      <c r="AO972" s="22"/>
      <c r="AP972" s="22"/>
    </row>
    <row r="973" ht="15.75" customHeight="1">
      <c r="A973" s="2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  <c r="AN973" s="22"/>
      <c r="AO973" s="22"/>
      <c r="AP973" s="22"/>
    </row>
    <row r="974" ht="15.75" customHeight="1">
      <c r="A974" s="2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22"/>
      <c r="AO974" s="22"/>
      <c r="AP974" s="22"/>
    </row>
    <row r="975" ht="15.75" customHeight="1">
      <c r="A975" s="2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  <c r="AN975" s="22"/>
      <c r="AO975" s="22"/>
      <c r="AP975" s="22"/>
    </row>
    <row r="976" ht="15.75" customHeight="1">
      <c r="A976" s="2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22"/>
      <c r="AO976" s="22"/>
      <c r="AP976" s="22"/>
    </row>
    <row r="977" ht="15.75" customHeight="1">
      <c r="A977" s="2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  <c r="AN977" s="22"/>
      <c r="AO977" s="22"/>
      <c r="AP977" s="22"/>
    </row>
    <row r="978" ht="15.75" customHeight="1">
      <c r="A978" s="2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  <c r="AN978" s="22"/>
      <c r="AO978" s="22"/>
      <c r="AP978" s="22"/>
    </row>
    <row r="979" ht="15.75" customHeight="1">
      <c r="A979" s="2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  <c r="AK979" s="43"/>
      <c r="AL979" s="43"/>
      <c r="AM979" s="43"/>
      <c r="AN979" s="22"/>
      <c r="AO979" s="22"/>
      <c r="AP979" s="22"/>
    </row>
    <row r="980" ht="15.75" customHeight="1">
      <c r="A980" s="2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  <c r="AN980" s="22"/>
      <c r="AO980" s="22"/>
      <c r="AP980" s="22"/>
    </row>
    <row r="981" ht="15.75" customHeight="1">
      <c r="A981" s="2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  <c r="AK981" s="43"/>
      <c r="AL981" s="43"/>
      <c r="AM981" s="43"/>
      <c r="AN981" s="22"/>
      <c r="AO981" s="22"/>
      <c r="AP981" s="22"/>
    </row>
    <row r="982" ht="15.75" customHeight="1">
      <c r="A982" s="2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  <c r="AN982" s="22"/>
      <c r="AO982" s="22"/>
      <c r="AP982" s="22"/>
    </row>
    <row r="983" ht="15.75" customHeight="1">
      <c r="A983" s="2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  <c r="AK983" s="43"/>
      <c r="AL983" s="43"/>
      <c r="AM983" s="43"/>
      <c r="AN983" s="22"/>
      <c r="AO983" s="22"/>
      <c r="AP983" s="22"/>
    </row>
    <row r="984" ht="15.75" customHeight="1">
      <c r="A984" s="2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22"/>
      <c r="AO984" s="22"/>
      <c r="AP984" s="22"/>
    </row>
    <row r="985" ht="15.75" customHeight="1">
      <c r="A985" s="2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  <c r="AK985" s="43"/>
      <c r="AL985" s="43"/>
      <c r="AM985" s="43"/>
      <c r="AN985" s="22"/>
      <c r="AO985" s="22"/>
      <c r="AP985" s="22"/>
    </row>
    <row r="986" ht="15.75" customHeight="1">
      <c r="A986" s="2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  <c r="AN986" s="22"/>
      <c r="AO986" s="22"/>
      <c r="AP986" s="22"/>
    </row>
    <row r="987" ht="15.75" customHeight="1">
      <c r="A987" s="2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43"/>
      <c r="AK987" s="43"/>
      <c r="AL987" s="43"/>
      <c r="AM987" s="43"/>
      <c r="AN987" s="22"/>
      <c r="AO987" s="22"/>
      <c r="AP987" s="22"/>
    </row>
    <row r="988" ht="15.75" customHeight="1">
      <c r="A988" s="2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  <c r="AN988" s="22"/>
      <c r="AO988" s="22"/>
      <c r="AP988" s="22"/>
    </row>
    <row r="989" ht="15.75" customHeight="1">
      <c r="A989" s="2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43"/>
      <c r="AK989" s="43"/>
      <c r="AL989" s="43"/>
      <c r="AM989" s="43"/>
      <c r="AN989" s="22"/>
      <c r="AO989" s="22"/>
      <c r="AP989" s="22"/>
    </row>
    <row r="990" ht="15.75" customHeight="1">
      <c r="A990" s="2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43"/>
      <c r="AK990" s="43"/>
      <c r="AL990" s="43"/>
      <c r="AM990" s="43"/>
      <c r="AN990" s="22"/>
      <c r="AO990" s="22"/>
      <c r="AP990" s="22"/>
    </row>
    <row r="991" ht="15.75" customHeight="1">
      <c r="A991" s="2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43"/>
      <c r="AK991" s="43"/>
      <c r="AL991" s="43"/>
      <c r="AM991" s="43"/>
      <c r="AN991" s="22"/>
      <c r="AO991" s="22"/>
      <c r="AP991" s="22"/>
    </row>
    <row r="992" ht="15.75" customHeight="1">
      <c r="A992" s="2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  <c r="AJ992" s="43"/>
      <c r="AK992" s="43"/>
      <c r="AL992" s="43"/>
      <c r="AM992" s="43"/>
      <c r="AN992" s="22"/>
      <c r="AO992" s="22"/>
      <c r="AP992" s="22"/>
    </row>
    <row r="993" ht="15.75" customHeight="1">
      <c r="A993" s="2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43"/>
      <c r="AK993" s="43"/>
      <c r="AL993" s="43"/>
      <c r="AM993" s="43"/>
      <c r="AN993" s="22"/>
      <c r="AO993" s="22"/>
      <c r="AP993" s="22"/>
    </row>
    <row r="994" ht="15.75" customHeight="1">
      <c r="A994" s="2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  <c r="AJ994" s="43"/>
      <c r="AK994" s="43"/>
      <c r="AL994" s="43"/>
      <c r="AM994" s="43"/>
      <c r="AN994" s="22"/>
      <c r="AO994" s="22"/>
      <c r="AP994" s="22"/>
    </row>
    <row r="995" ht="15.75" customHeight="1">
      <c r="A995" s="2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H995" s="43"/>
      <c r="AI995" s="43"/>
      <c r="AJ995" s="43"/>
      <c r="AK995" s="43"/>
      <c r="AL995" s="43"/>
      <c r="AM995" s="43"/>
      <c r="AN995" s="22"/>
      <c r="AO995" s="22"/>
      <c r="AP995" s="22"/>
    </row>
    <row r="996" ht="15.75" customHeight="1">
      <c r="A996" s="2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  <c r="AH996" s="43"/>
      <c r="AI996" s="43"/>
      <c r="AJ996" s="43"/>
      <c r="AK996" s="43"/>
      <c r="AL996" s="43"/>
      <c r="AM996" s="43"/>
      <c r="AN996" s="22"/>
      <c r="AO996" s="22"/>
      <c r="AP996" s="22"/>
    </row>
    <row r="997" ht="15.75" customHeight="1">
      <c r="A997" s="2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H997" s="43"/>
      <c r="AI997" s="43"/>
      <c r="AJ997" s="43"/>
      <c r="AK997" s="43"/>
      <c r="AL997" s="43"/>
      <c r="AM997" s="43"/>
      <c r="AN997" s="22"/>
      <c r="AO997" s="22"/>
      <c r="AP997" s="22"/>
    </row>
    <row r="998" ht="15.75" customHeight="1">
      <c r="A998" s="2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H998" s="43"/>
      <c r="AI998" s="43"/>
      <c r="AJ998" s="43"/>
      <c r="AK998" s="43"/>
      <c r="AL998" s="43"/>
      <c r="AM998" s="43"/>
      <c r="AN998" s="22"/>
      <c r="AO998" s="22"/>
      <c r="AP998" s="22"/>
    </row>
    <row r="999" ht="15.75" customHeight="1">
      <c r="A999" s="2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  <c r="AH999" s="43"/>
      <c r="AI999" s="43"/>
      <c r="AJ999" s="43"/>
      <c r="AK999" s="43"/>
      <c r="AL999" s="43"/>
      <c r="AM999" s="43"/>
      <c r="AN999" s="22"/>
      <c r="AO999" s="22"/>
      <c r="AP999" s="22"/>
    </row>
    <row r="1000" ht="15.75" customHeight="1">
      <c r="A1000" s="2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3"/>
      <c r="AH1000" s="43"/>
      <c r="AI1000" s="43"/>
      <c r="AJ1000" s="43"/>
      <c r="AK1000" s="43"/>
      <c r="AL1000" s="43"/>
      <c r="AM1000" s="43"/>
      <c r="AN1000" s="22"/>
      <c r="AO1000" s="22"/>
      <c r="AP1000" s="22"/>
    </row>
  </sheetData>
  <mergeCells count="5">
    <mergeCell ref="A3:A5"/>
    <mergeCell ref="B3:B4"/>
    <mergeCell ref="C3:C4"/>
    <mergeCell ref="D3:U3"/>
    <mergeCell ref="V3:AM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71.29"/>
    <col customWidth="1" min="2" max="3" width="32.29"/>
    <col customWidth="1" min="4" max="6" width="9.14"/>
    <col customWidth="1" min="7" max="26" width="8.71"/>
  </cols>
  <sheetData>
    <row r="1">
      <c r="A1" s="2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2.5" customHeight="1">
      <c r="A3" s="54" t="s">
        <v>98</v>
      </c>
      <c r="B3" s="55" t="s">
        <v>39</v>
      </c>
      <c r="C3" s="55" t="s">
        <v>40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56"/>
      <c r="B4" s="57" t="s">
        <v>14</v>
      </c>
      <c r="C4" s="57" t="s">
        <v>15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8"/>
      <c r="B5" s="34"/>
      <c r="C5" s="59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21.75" customHeight="1">
      <c r="A6" s="60" t="s">
        <v>99</v>
      </c>
      <c r="B6" s="18">
        <v>1080638.0</v>
      </c>
      <c r="C6" s="61">
        <v>8569049.0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47"/>
      <c r="B7" s="22"/>
      <c r="C7" s="4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47" t="s">
        <v>100</v>
      </c>
      <c r="B8" s="22">
        <v>1141.0</v>
      </c>
      <c r="C8" s="46">
        <v>25106.0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47" t="s">
        <v>101</v>
      </c>
      <c r="B9" s="22">
        <v>619.0</v>
      </c>
      <c r="C9" s="46">
        <v>65707.0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47" t="s">
        <v>102</v>
      </c>
      <c r="B10" s="22">
        <v>101.0</v>
      </c>
      <c r="C10" s="46">
        <v>589.0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47" t="s">
        <v>103</v>
      </c>
      <c r="B11" s="22">
        <v>4780.0</v>
      </c>
      <c r="C11" s="46">
        <v>51337.0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47" t="s">
        <v>104</v>
      </c>
      <c r="B12" s="22">
        <v>911.0</v>
      </c>
      <c r="C12" s="46">
        <v>20356.0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47" t="s">
        <v>105</v>
      </c>
      <c r="B13" s="22">
        <v>20.0</v>
      </c>
      <c r="C13" s="46">
        <v>447.0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47" t="s">
        <v>106</v>
      </c>
      <c r="B14" s="22">
        <v>42.0</v>
      </c>
      <c r="C14" s="46">
        <v>313.0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47" t="s">
        <v>107</v>
      </c>
      <c r="B15" s="22">
        <v>16.0</v>
      </c>
      <c r="C15" s="46">
        <v>183.0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47" t="s">
        <v>108</v>
      </c>
      <c r="B16" s="22">
        <v>286.0</v>
      </c>
      <c r="C16" s="46">
        <v>17147.0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47" t="s">
        <v>109</v>
      </c>
      <c r="B17" s="22">
        <v>690.0</v>
      </c>
      <c r="C17" s="46">
        <v>9686.0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47" t="s">
        <v>110</v>
      </c>
      <c r="B18" s="22">
        <v>21.0</v>
      </c>
      <c r="C18" s="46">
        <v>4718.0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47" t="s">
        <v>111</v>
      </c>
      <c r="B19" s="22">
        <v>2.0</v>
      </c>
      <c r="C19" s="46">
        <v>4.0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47" t="s">
        <v>112</v>
      </c>
      <c r="B20" s="22">
        <v>3.0</v>
      </c>
      <c r="C20" s="46">
        <v>221.0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47" t="s">
        <v>113</v>
      </c>
      <c r="B21" s="22">
        <v>4.0</v>
      </c>
      <c r="C21" s="46">
        <v>225.0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47" t="s">
        <v>114</v>
      </c>
      <c r="B22" s="22">
        <v>8.0</v>
      </c>
      <c r="C22" s="46">
        <v>955.0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47" t="s">
        <v>115</v>
      </c>
      <c r="B23" s="22">
        <v>228.0</v>
      </c>
      <c r="C23" s="46">
        <v>22672.0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47" t="s">
        <v>116</v>
      </c>
      <c r="B24" s="22">
        <v>565.0</v>
      </c>
      <c r="C24" s="46">
        <v>8711.0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75" customHeight="1">
      <c r="A25" s="47" t="s">
        <v>117</v>
      </c>
      <c r="B25" s="22">
        <v>60.0</v>
      </c>
      <c r="C25" s="46">
        <v>566.0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75" customHeight="1">
      <c r="A26" s="47" t="s">
        <v>118</v>
      </c>
      <c r="B26" s="22">
        <v>1.0</v>
      </c>
      <c r="C26" s="46">
        <v>7.0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75" customHeight="1">
      <c r="A27" s="47" t="s">
        <v>119</v>
      </c>
      <c r="B27" s="22">
        <v>67.0</v>
      </c>
      <c r="C27" s="46">
        <v>1776.0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47" t="s">
        <v>120</v>
      </c>
      <c r="B28" s="22">
        <v>670.0</v>
      </c>
      <c r="C28" s="46">
        <v>26966.0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75" customHeight="1">
      <c r="A29" s="47" t="s">
        <v>121</v>
      </c>
      <c r="B29" s="22">
        <v>822.0</v>
      </c>
      <c r="C29" s="46">
        <v>20817.0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47" t="s">
        <v>122</v>
      </c>
      <c r="B30" s="22">
        <v>420.0</v>
      </c>
      <c r="C30" s="46">
        <v>25674.0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47" t="s">
        <v>123</v>
      </c>
      <c r="B31" s="22">
        <v>153.0</v>
      </c>
      <c r="C31" s="46">
        <v>8543.0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47" t="s">
        <v>124</v>
      </c>
      <c r="B32" s="22">
        <v>372.0</v>
      </c>
      <c r="C32" s="46">
        <v>12729.0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47" t="s">
        <v>125</v>
      </c>
      <c r="B33" s="22">
        <v>12292.0</v>
      </c>
      <c r="C33" s="46">
        <v>47157.0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47" t="s">
        <v>126</v>
      </c>
      <c r="B34" s="22">
        <v>30791.0</v>
      </c>
      <c r="C34" s="46">
        <v>206179.0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47" t="s">
        <v>127</v>
      </c>
      <c r="B35" s="22">
        <v>245.0</v>
      </c>
      <c r="C35" s="46">
        <v>14344.0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47" t="s">
        <v>128</v>
      </c>
      <c r="B36" s="22">
        <v>31204.0</v>
      </c>
      <c r="C36" s="46">
        <v>120997.0</v>
      </c>
      <c r="D36" s="2"/>
      <c r="E36" s="52"/>
      <c r="F36" s="5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47" t="s">
        <v>129</v>
      </c>
      <c r="B37" s="22">
        <v>38.0</v>
      </c>
      <c r="C37" s="46">
        <v>12435.0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47" t="s">
        <v>130</v>
      </c>
      <c r="B38" s="22">
        <v>290.0</v>
      </c>
      <c r="C38" s="46">
        <v>5341.0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47" t="s">
        <v>131</v>
      </c>
      <c r="B39" s="22">
        <v>850.0</v>
      </c>
      <c r="C39" s="46">
        <v>17525.0</v>
      </c>
      <c r="D39" s="2"/>
      <c r="E39" s="5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47" t="s">
        <v>132</v>
      </c>
      <c r="B40" s="22">
        <v>1597.0</v>
      </c>
      <c r="C40" s="46">
        <v>73454.0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47" t="s">
        <v>133</v>
      </c>
      <c r="B41" s="22">
        <v>6622.0</v>
      </c>
      <c r="C41" s="46">
        <v>16523.0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75" customHeight="1">
      <c r="A42" s="47" t="s">
        <v>134</v>
      </c>
      <c r="B42" s="22">
        <v>37.0</v>
      </c>
      <c r="C42" s="46">
        <v>5950.0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75" customHeight="1">
      <c r="A43" s="47" t="s">
        <v>135</v>
      </c>
      <c r="B43" s="22">
        <v>187.0</v>
      </c>
      <c r="C43" s="46">
        <v>21181.0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75" customHeight="1">
      <c r="A44" s="47" t="s">
        <v>136</v>
      </c>
      <c r="B44" s="22">
        <v>293.0</v>
      </c>
      <c r="C44" s="46">
        <v>8946.0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75" customHeight="1">
      <c r="A45" s="47" t="s">
        <v>137</v>
      </c>
      <c r="B45" s="22">
        <v>166.0</v>
      </c>
      <c r="C45" s="46">
        <v>2413.0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75" customHeight="1">
      <c r="A46" s="47" t="s">
        <v>138</v>
      </c>
      <c r="B46" s="22">
        <v>1583.0</v>
      </c>
      <c r="C46" s="46">
        <v>21709.0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75" customHeight="1">
      <c r="A47" s="47" t="s">
        <v>139</v>
      </c>
      <c r="B47" s="22">
        <v>433.0</v>
      </c>
      <c r="C47" s="46">
        <v>22186.0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75" customHeight="1">
      <c r="A48" s="47" t="s">
        <v>140</v>
      </c>
      <c r="B48" s="22">
        <v>10112.0</v>
      </c>
      <c r="C48" s="46">
        <v>45805.0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75" customHeight="1">
      <c r="A49" s="47" t="s">
        <v>141</v>
      </c>
      <c r="B49" s="22">
        <v>28.0</v>
      </c>
      <c r="C49" s="46">
        <v>5173.0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75" customHeight="1">
      <c r="A50" s="47" t="s">
        <v>142</v>
      </c>
      <c r="B50" s="22">
        <v>3.0</v>
      </c>
      <c r="C50" s="46">
        <v>12.0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75" customHeight="1">
      <c r="A51" s="47" t="s">
        <v>143</v>
      </c>
      <c r="B51" s="22">
        <v>37.0</v>
      </c>
      <c r="C51" s="46">
        <v>1318.0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75" customHeight="1">
      <c r="A52" s="47" t="s">
        <v>144</v>
      </c>
      <c r="B52" s="22">
        <v>4.0</v>
      </c>
      <c r="C52" s="46">
        <v>109.0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75" customHeight="1">
      <c r="A53" s="47" t="s">
        <v>145</v>
      </c>
      <c r="B53" s="22">
        <v>347.0</v>
      </c>
      <c r="C53" s="46">
        <v>15033.0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75" customHeight="1">
      <c r="A54" s="47" t="s">
        <v>146</v>
      </c>
      <c r="B54" s="22">
        <v>599.0</v>
      </c>
      <c r="C54" s="46">
        <v>24764.0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75" customHeight="1">
      <c r="A55" s="47" t="s">
        <v>147</v>
      </c>
      <c r="B55" s="22">
        <v>9.0</v>
      </c>
      <c r="C55" s="46">
        <v>337.0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75" customHeight="1">
      <c r="A56" s="47" t="s">
        <v>148</v>
      </c>
      <c r="B56" s="22">
        <v>134.0</v>
      </c>
      <c r="C56" s="46">
        <v>18425.0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75" customHeight="1">
      <c r="A57" s="47" t="s">
        <v>149</v>
      </c>
      <c r="B57" s="22">
        <v>250.0</v>
      </c>
      <c r="C57" s="46">
        <v>13077.0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75" customHeight="1">
      <c r="A58" s="47" t="s">
        <v>150</v>
      </c>
      <c r="B58" s="22">
        <v>815.0</v>
      </c>
      <c r="C58" s="46">
        <v>47658.0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75" customHeight="1">
      <c r="A59" s="47" t="s">
        <v>151</v>
      </c>
      <c r="B59" s="22">
        <v>445.0</v>
      </c>
      <c r="C59" s="46">
        <v>5569.0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75" customHeight="1">
      <c r="A60" s="47" t="s">
        <v>152</v>
      </c>
      <c r="B60" s="22">
        <v>4733.0</v>
      </c>
      <c r="C60" s="46">
        <v>43976.0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75" customHeight="1">
      <c r="A61" s="47" t="s">
        <v>153</v>
      </c>
      <c r="B61" s="22">
        <v>725.0</v>
      </c>
      <c r="C61" s="46">
        <v>17992.0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75" customHeight="1">
      <c r="A62" s="47" t="s">
        <v>154</v>
      </c>
      <c r="B62" s="22">
        <v>65.0</v>
      </c>
      <c r="C62" s="46">
        <v>3711.0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75" customHeight="1">
      <c r="A63" s="47" t="s">
        <v>155</v>
      </c>
      <c r="B63" s="22">
        <v>108.0</v>
      </c>
      <c r="C63" s="46">
        <v>3674.0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75" customHeight="1">
      <c r="A64" s="47" t="s">
        <v>156</v>
      </c>
      <c r="B64" s="22">
        <v>1347.0</v>
      </c>
      <c r="C64" s="46">
        <v>23029.0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75" customHeight="1">
      <c r="A65" s="47" t="s">
        <v>157</v>
      </c>
      <c r="B65" s="22">
        <v>39.0</v>
      </c>
      <c r="C65" s="46">
        <v>1513.0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75" customHeight="1">
      <c r="A66" s="47" t="s">
        <v>158</v>
      </c>
      <c r="B66" s="22">
        <v>6635.0</v>
      </c>
      <c r="C66" s="46">
        <v>57759.0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75" customHeight="1">
      <c r="A67" s="47" t="s">
        <v>159</v>
      </c>
      <c r="B67" s="22">
        <v>155.0</v>
      </c>
      <c r="C67" s="46">
        <v>142444.0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75" customHeight="1">
      <c r="A68" s="47" t="s">
        <v>160</v>
      </c>
      <c r="B68" s="22">
        <v>50.0</v>
      </c>
      <c r="C68" s="46">
        <v>29867.0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75" customHeight="1">
      <c r="A69" s="47" t="s">
        <v>161</v>
      </c>
      <c r="B69" s="22">
        <v>23.0</v>
      </c>
      <c r="C69" s="46">
        <v>5060.0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75" customHeight="1">
      <c r="A70" s="47" t="s">
        <v>162</v>
      </c>
      <c r="B70" s="22">
        <v>50.0</v>
      </c>
      <c r="C70" s="46">
        <v>8747.0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75" customHeight="1">
      <c r="A71" s="47" t="s">
        <v>163</v>
      </c>
      <c r="B71" s="22">
        <v>47.0</v>
      </c>
      <c r="C71" s="46">
        <v>4671.0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75" customHeight="1">
      <c r="A72" s="47" t="s">
        <v>164</v>
      </c>
      <c r="B72" s="22">
        <v>8.0</v>
      </c>
      <c r="C72" s="46">
        <v>1574.0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75" customHeight="1">
      <c r="A73" s="47" t="s">
        <v>165</v>
      </c>
      <c r="B73" s="22">
        <v>39.0</v>
      </c>
      <c r="C73" s="46">
        <v>4514.0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75" customHeight="1">
      <c r="A74" s="47" t="s">
        <v>166</v>
      </c>
      <c r="B74" s="22">
        <v>100.0</v>
      </c>
      <c r="C74" s="46">
        <v>15295.0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1.75" customHeight="1">
      <c r="A75" s="47" t="s">
        <v>167</v>
      </c>
      <c r="B75" s="22">
        <v>13.0</v>
      </c>
      <c r="C75" s="46">
        <v>3021.0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1.75" customHeight="1">
      <c r="A76" s="47" t="s">
        <v>168</v>
      </c>
      <c r="B76" s="22">
        <v>73.0</v>
      </c>
      <c r="C76" s="46">
        <v>16447.0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1.75" customHeight="1">
      <c r="A77" s="47" t="s">
        <v>169</v>
      </c>
      <c r="B77" s="22">
        <v>48.0</v>
      </c>
      <c r="C77" s="46">
        <v>6685.0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75" customHeight="1">
      <c r="A78" s="47" t="s">
        <v>170</v>
      </c>
      <c r="B78" s="22">
        <v>113.0</v>
      </c>
      <c r="C78" s="46">
        <v>4216.0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75" customHeight="1">
      <c r="A79" s="47" t="s">
        <v>171</v>
      </c>
      <c r="B79" s="22">
        <v>49.0</v>
      </c>
      <c r="C79" s="46">
        <v>8614.0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75" customHeight="1">
      <c r="A80" s="47" t="s">
        <v>172</v>
      </c>
      <c r="B80" s="22">
        <v>276.0</v>
      </c>
      <c r="C80" s="46">
        <v>21215.0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75" customHeight="1">
      <c r="A81" s="47" t="s">
        <v>173</v>
      </c>
      <c r="B81" s="22">
        <v>626.0</v>
      </c>
      <c r="C81" s="46">
        <v>22292.0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75" customHeight="1">
      <c r="A82" s="47" t="s">
        <v>174</v>
      </c>
      <c r="B82" s="22">
        <v>68.0</v>
      </c>
      <c r="C82" s="46">
        <v>7460.0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75" customHeight="1">
      <c r="A83" s="47" t="s">
        <v>175</v>
      </c>
      <c r="B83" s="22">
        <v>47.0</v>
      </c>
      <c r="C83" s="46">
        <v>1312.0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75" customHeight="1">
      <c r="A84" s="47" t="s">
        <v>176</v>
      </c>
      <c r="B84" s="22">
        <v>158.0</v>
      </c>
      <c r="C84" s="46">
        <v>59535.0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75" customHeight="1">
      <c r="A85" s="47" t="s">
        <v>177</v>
      </c>
      <c r="B85" s="22">
        <v>58.0</v>
      </c>
      <c r="C85" s="46">
        <v>3591.0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75" customHeight="1">
      <c r="A86" s="47" t="s">
        <v>178</v>
      </c>
      <c r="B86" s="22">
        <v>7.0</v>
      </c>
      <c r="C86" s="46">
        <v>325.0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75" customHeight="1">
      <c r="A87" s="47" t="s">
        <v>179</v>
      </c>
      <c r="B87" s="22">
        <v>7.0</v>
      </c>
      <c r="C87" s="46">
        <v>4230.0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75" customHeight="1">
      <c r="A88" s="47" t="s">
        <v>180</v>
      </c>
      <c r="B88" s="22">
        <v>2.0</v>
      </c>
      <c r="C88" s="46">
        <v>47.0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1.75" customHeight="1">
      <c r="A89" s="47" t="s">
        <v>181</v>
      </c>
      <c r="B89" s="22">
        <v>695.0</v>
      </c>
      <c r="C89" s="46">
        <v>12292.0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1.75" customHeight="1">
      <c r="A90" s="47" t="s">
        <v>182</v>
      </c>
      <c r="B90" s="22">
        <v>6074.0</v>
      </c>
      <c r="C90" s="46">
        <v>40666.0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1.75" customHeight="1">
      <c r="A91" s="47" t="s">
        <v>183</v>
      </c>
      <c r="B91" s="22">
        <v>299.0</v>
      </c>
      <c r="C91" s="46">
        <v>2564.0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1.75" customHeight="1">
      <c r="A92" s="47" t="s">
        <v>184</v>
      </c>
      <c r="B92" s="22">
        <v>83.0</v>
      </c>
      <c r="C92" s="46">
        <v>286.0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1.75" customHeight="1">
      <c r="A93" s="47" t="s">
        <v>185</v>
      </c>
      <c r="B93" s="22">
        <v>44.0</v>
      </c>
      <c r="C93" s="46">
        <v>4878.0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1.75" customHeight="1">
      <c r="A94" s="47" t="s">
        <v>186</v>
      </c>
      <c r="B94" s="22">
        <v>37.0</v>
      </c>
      <c r="C94" s="46">
        <v>2758.0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1.75" customHeight="1">
      <c r="A95" s="47" t="s">
        <v>187</v>
      </c>
      <c r="B95" s="22">
        <v>78.0</v>
      </c>
      <c r="C95" s="46">
        <v>11661.0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1.75" customHeight="1">
      <c r="A96" s="47" t="s">
        <v>188</v>
      </c>
      <c r="B96" s="22">
        <v>639.0</v>
      </c>
      <c r="C96" s="46">
        <v>9022.0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1.75" customHeight="1">
      <c r="A97" s="47" t="s">
        <v>189</v>
      </c>
      <c r="B97" s="22">
        <v>3913.0</v>
      </c>
      <c r="C97" s="46">
        <v>28975.0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1.75" customHeight="1">
      <c r="A98" s="47" t="s">
        <v>190</v>
      </c>
      <c r="B98" s="22">
        <v>58.0</v>
      </c>
      <c r="C98" s="46">
        <v>1237.0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1.75" customHeight="1">
      <c r="A99" s="47" t="s">
        <v>191</v>
      </c>
      <c r="B99" s="22">
        <v>1376.0</v>
      </c>
      <c r="C99" s="46">
        <v>67446.0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1.75" customHeight="1">
      <c r="A100" s="47" t="s">
        <v>192</v>
      </c>
      <c r="B100" s="22">
        <v>6.0</v>
      </c>
      <c r="C100" s="46">
        <v>68.0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1.75" customHeight="1">
      <c r="A101" s="47" t="s">
        <v>193</v>
      </c>
      <c r="B101" s="22">
        <v>2.0</v>
      </c>
      <c r="C101" s="46">
        <v>43.0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1.75" customHeight="1">
      <c r="A102" s="47" t="s">
        <v>194</v>
      </c>
      <c r="B102" s="22">
        <v>1294.0</v>
      </c>
      <c r="C102" s="46">
        <v>32701.0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1.75" customHeight="1">
      <c r="A103" s="47" t="s">
        <v>195</v>
      </c>
      <c r="B103" s="22">
        <v>75.0</v>
      </c>
      <c r="C103" s="46">
        <v>2273.0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1.75" customHeight="1">
      <c r="A104" s="47" t="s">
        <v>196</v>
      </c>
      <c r="B104" s="22">
        <v>48.0</v>
      </c>
      <c r="C104" s="46">
        <v>1762.0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1.75" customHeight="1">
      <c r="A105" s="47" t="s">
        <v>197</v>
      </c>
      <c r="B105" s="22">
        <v>28.0</v>
      </c>
      <c r="C105" s="46">
        <v>737.0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1.75" customHeight="1">
      <c r="A106" s="47" t="s">
        <v>198</v>
      </c>
      <c r="B106" s="22">
        <v>95.0</v>
      </c>
      <c r="C106" s="46">
        <v>1763.0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1.75" customHeight="1">
      <c r="A107" s="47" t="s">
        <v>199</v>
      </c>
      <c r="B107" s="22">
        <v>24.0</v>
      </c>
      <c r="C107" s="46">
        <v>669.0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1.75" customHeight="1">
      <c r="A108" s="47" t="s">
        <v>200</v>
      </c>
      <c r="B108" s="22">
        <v>1910.0</v>
      </c>
      <c r="C108" s="46">
        <v>92623.0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1.75" customHeight="1">
      <c r="A109" s="47" t="s">
        <v>201</v>
      </c>
      <c r="B109" s="22">
        <v>528.0</v>
      </c>
      <c r="C109" s="46">
        <v>85699.0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1.75" customHeight="1">
      <c r="A110" s="47" t="s">
        <v>202</v>
      </c>
      <c r="B110" s="22">
        <v>228.0</v>
      </c>
      <c r="C110" s="46">
        <v>11967.0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.75" customHeight="1">
      <c r="A111" s="47" t="s">
        <v>203</v>
      </c>
      <c r="B111" s="22">
        <v>348.0</v>
      </c>
      <c r="C111" s="46">
        <v>17617.0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.75" customHeight="1">
      <c r="A112" s="47" t="s">
        <v>204</v>
      </c>
      <c r="B112" s="22">
        <v>24.0</v>
      </c>
      <c r="C112" s="46">
        <v>2343.0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1.75" customHeight="1">
      <c r="A113" s="47" t="s">
        <v>205</v>
      </c>
      <c r="B113" s="22">
        <v>888.0</v>
      </c>
      <c r="C113" s="46">
        <v>38627.0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.75" customHeight="1">
      <c r="A114" s="47" t="s">
        <v>206</v>
      </c>
      <c r="B114" s="22">
        <v>261.0</v>
      </c>
      <c r="C114" s="46">
        <v>5659.0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1.75" customHeight="1">
      <c r="A115" s="47" t="s">
        <v>207</v>
      </c>
      <c r="B115" s="22">
        <v>295.0</v>
      </c>
      <c r="C115" s="46">
        <v>11607.0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75" customHeight="1">
      <c r="A116" s="47" t="s">
        <v>208</v>
      </c>
      <c r="B116" s="22">
        <v>2420.0</v>
      </c>
      <c r="C116" s="46">
        <v>47819.0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.75" customHeight="1">
      <c r="A117" s="47" t="s">
        <v>209</v>
      </c>
      <c r="B117" s="22">
        <v>28137.0</v>
      </c>
      <c r="C117" s="46">
        <v>90296.0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1.75" customHeight="1">
      <c r="A118" s="47" t="s">
        <v>210</v>
      </c>
      <c r="B118" s="22">
        <v>18757.0</v>
      </c>
      <c r="C118" s="46">
        <v>71939.0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1.75" customHeight="1">
      <c r="A119" s="47" t="s">
        <v>211</v>
      </c>
      <c r="B119" s="22">
        <v>28127.0</v>
      </c>
      <c r="C119" s="46">
        <v>110827.0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1.75" customHeight="1">
      <c r="A120" s="47" t="s">
        <v>212</v>
      </c>
      <c r="B120" s="22">
        <v>902.0</v>
      </c>
      <c r="C120" s="46">
        <v>20796.0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1.75" customHeight="1">
      <c r="A121" s="47" t="s">
        <v>213</v>
      </c>
      <c r="B121" s="22">
        <v>10109.0</v>
      </c>
      <c r="C121" s="46">
        <v>46666.0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1.75" customHeight="1">
      <c r="A122" s="47" t="s">
        <v>214</v>
      </c>
      <c r="B122" s="22">
        <v>11404.0</v>
      </c>
      <c r="C122" s="46">
        <v>99094.0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1.75" customHeight="1">
      <c r="A123" s="47" t="s">
        <v>215</v>
      </c>
      <c r="B123" s="22">
        <v>12895.0</v>
      </c>
      <c r="C123" s="46">
        <v>128437.0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1.75" customHeight="1">
      <c r="A124" s="47" t="s">
        <v>216</v>
      </c>
      <c r="B124" s="22">
        <v>4207.0</v>
      </c>
      <c r="C124" s="46">
        <v>59227.0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1.75" customHeight="1">
      <c r="A125" s="47" t="s">
        <v>217</v>
      </c>
      <c r="B125" s="22">
        <v>13151.0</v>
      </c>
      <c r="C125" s="46">
        <v>105366.0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1.75" customHeight="1">
      <c r="A126" s="47" t="s">
        <v>218</v>
      </c>
      <c r="B126" s="22">
        <v>120.0</v>
      </c>
      <c r="C126" s="46">
        <v>1203.0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1.75" customHeight="1">
      <c r="A127" s="47" t="s">
        <v>219</v>
      </c>
      <c r="B127" s="22">
        <v>95222.0</v>
      </c>
      <c r="C127" s="46">
        <v>440250.0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1.75" customHeight="1">
      <c r="A128" s="47" t="s">
        <v>220</v>
      </c>
      <c r="B128" s="22">
        <v>74505.0</v>
      </c>
      <c r="C128" s="46">
        <v>195604.0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.75" customHeight="1">
      <c r="A129" s="47" t="s">
        <v>221</v>
      </c>
      <c r="B129" s="22">
        <v>13471.0</v>
      </c>
      <c r="C129" s="46">
        <v>94571.0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75" customHeight="1">
      <c r="A130" s="47" t="s">
        <v>222</v>
      </c>
      <c r="B130" s="22">
        <v>16298.0</v>
      </c>
      <c r="C130" s="46">
        <v>57619.0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75" customHeight="1">
      <c r="A131" s="47" t="s">
        <v>223</v>
      </c>
      <c r="B131" s="22">
        <v>57401.0</v>
      </c>
      <c r="C131" s="46">
        <v>325885.0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75" customHeight="1">
      <c r="A132" s="47" t="s">
        <v>224</v>
      </c>
      <c r="B132" s="22">
        <v>12453.0</v>
      </c>
      <c r="C132" s="46">
        <v>43545.0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75" customHeight="1">
      <c r="A133" s="47" t="s">
        <v>225</v>
      </c>
      <c r="B133" s="22">
        <v>139163.0</v>
      </c>
      <c r="C133" s="46">
        <v>440218.0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75" customHeight="1">
      <c r="A134" s="47" t="s">
        <v>226</v>
      </c>
      <c r="B134" s="22">
        <v>998.0</v>
      </c>
      <c r="C134" s="46">
        <v>5986.0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75" customHeight="1">
      <c r="A135" s="47" t="s">
        <v>227</v>
      </c>
      <c r="B135" s="22">
        <v>9.0</v>
      </c>
      <c r="C135" s="46">
        <v>2374.0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75" customHeight="1">
      <c r="A136" s="47" t="s">
        <v>228</v>
      </c>
      <c r="B136" s="22">
        <v>499.0</v>
      </c>
      <c r="C136" s="46">
        <v>36839.0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75" customHeight="1">
      <c r="A137" s="47" t="s">
        <v>229</v>
      </c>
      <c r="B137" s="22">
        <v>2709.0</v>
      </c>
      <c r="C137" s="46">
        <v>53759.0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75" customHeight="1">
      <c r="A138" s="47" t="s">
        <v>230</v>
      </c>
      <c r="B138" s="22">
        <v>422.0</v>
      </c>
      <c r="C138" s="46">
        <v>16278.0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75" customHeight="1">
      <c r="A139" s="47" t="s">
        <v>231</v>
      </c>
      <c r="B139" s="22">
        <v>113.0</v>
      </c>
      <c r="C139" s="46">
        <v>1119.0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75" customHeight="1">
      <c r="A140" s="47" t="s">
        <v>232</v>
      </c>
      <c r="B140" s="22">
        <v>71.0</v>
      </c>
      <c r="C140" s="46">
        <v>10004.0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75" customHeight="1">
      <c r="A141" s="47" t="s">
        <v>233</v>
      </c>
      <c r="B141" s="22">
        <v>11.0</v>
      </c>
      <c r="C141" s="46">
        <v>291.0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75" customHeight="1">
      <c r="A142" s="47" t="s">
        <v>234</v>
      </c>
      <c r="B142" s="22">
        <v>2789.0</v>
      </c>
      <c r="C142" s="46">
        <v>34612.0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75" customHeight="1">
      <c r="A143" s="47" t="s">
        <v>235</v>
      </c>
      <c r="B143" s="22">
        <v>3621.0</v>
      </c>
      <c r="C143" s="46">
        <v>113236.0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1.75" customHeight="1">
      <c r="A144" s="47" t="s">
        <v>236</v>
      </c>
      <c r="B144" s="22">
        <v>115.0</v>
      </c>
      <c r="C144" s="46">
        <v>7619.0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1.75" customHeight="1">
      <c r="A145" s="47" t="s">
        <v>237</v>
      </c>
      <c r="B145" s="22">
        <v>3515.0</v>
      </c>
      <c r="C145" s="46">
        <v>42917.0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1.75" customHeight="1">
      <c r="A146" s="47" t="s">
        <v>238</v>
      </c>
      <c r="B146" s="22">
        <v>10369.0</v>
      </c>
      <c r="C146" s="46">
        <v>103394.0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1.75" customHeight="1">
      <c r="A147" s="47" t="s">
        <v>239</v>
      </c>
      <c r="B147" s="22">
        <v>2359.0</v>
      </c>
      <c r="C147" s="46">
        <v>5219.0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1.75" customHeight="1">
      <c r="A148" s="47" t="s">
        <v>240</v>
      </c>
      <c r="B148" s="22">
        <v>120777.0</v>
      </c>
      <c r="C148" s="46">
        <v>535148.0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1.75" customHeight="1">
      <c r="A149" s="47" t="s">
        <v>241</v>
      </c>
      <c r="B149" s="22">
        <v>2390.0</v>
      </c>
      <c r="C149" s="46">
        <v>12746.0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1.75" customHeight="1">
      <c r="A150" s="47" t="s">
        <v>242</v>
      </c>
      <c r="B150" s="22">
        <v>17483.0</v>
      </c>
      <c r="C150" s="46">
        <v>62040.0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1.75" customHeight="1">
      <c r="A151" s="47" t="s">
        <v>243</v>
      </c>
      <c r="B151" s="22">
        <v>229.0</v>
      </c>
      <c r="C151" s="46">
        <v>6555.0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1.75" customHeight="1">
      <c r="A152" s="47" t="s">
        <v>244</v>
      </c>
      <c r="B152" s="22">
        <v>28.0</v>
      </c>
      <c r="C152" s="46">
        <v>1528.0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1.75" customHeight="1">
      <c r="A153" s="47" t="s">
        <v>245</v>
      </c>
      <c r="B153" s="22">
        <v>62.0</v>
      </c>
      <c r="C153" s="46">
        <v>2882.0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1.75" customHeight="1">
      <c r="A154" s="47" t="s">
        <v>246</v>
      </c>
      <c r="B154" s="22">
        <v>35.0</v>
      </c>
      <c r="C154" s="46">
        <v>432.0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1.75" customHeight="1">
      <c r="A155" s="47" t="s">
        <v>247</v>
      </c>
      <c r="B155" s="22">
        <v>616.0</v>
      </c>
      <c r="C155" s="46">
        <v>6627.0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1.75" customHeight="1">
      <c r="A156" s="47" t="s">
        <v>248</v>
      </c>
      <c r="B156" s="22">
        <v>87.0</v>
      </c>
      <c r="C156" s="46">
        <v>5167.0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1.75" customHeight="1">
      <c r="A157" s="47" t="s">
        <v>249</v>
      </c>
      <c r="B157" s="22">
        <v>218.0</v>
      </c>
      <c r="C157" s="46">
        <v>19641.0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1.75" customHeight="1">
      <c r="A158" s="47" t="s">
        <v>250</v>
      </c>
      <c r="B158" s="22">
        <v>709.0</v>
      </c>
      <c r="C158" s="46">
        <v>25048.0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1.75" customHeight="1">
      <c r="A159" s="47" t="s">
        <v>251</v>
      </c>
      <c r="B159" s="22">
        <v>1365.0</v>
      </c>
      <c r="C159" s="46">
        <v>9984.0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1.75" customHeight="1">
      <c r="A160" s="47" t="s">
        <v>252</v>
      </c>
      <c r="B160" s="22">
        <v>8261.0</v>
      </c>
      <c r="C160" s="46">
        <v>27449.0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1.75" customHeight="1">
      <c r="A161" s="47" t="s">
        <v>253</v>
      </c>
      <c r="B161" s="22">
        <v>1133.0</v>
      </c>
      <c r="C161" s="46">
        <v>87932.0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1.75" customHeight="1">
      <c r="A162" s="47" t="s">
        <v>254</v>
      </c>
      <c r="B162" s="22">
        <v>97.0</v>
      </c>
      <c r="C162" s="46">
        <v>15283.0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1.75" customHeight="1">
      <c r="A163" s="47" t="s">
        <v>255</v>
      </c>
      <c r="B163" s="22">
        <v>48.0</v>
      </c>
      <c r="C163" s="46">
        <v>4532.0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1.75" customHeight="1">
      <c r="A164" s="47" t="s">
        <v>256</v>
      </c>
      <c r="B164" s="22">
        <v>10815.0</v>
      </c>
      <c r="C164" s="46">
        <v>245502.0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1.75" customHeight="1">
      <c r="A165" s="47" t="s">
        <v>257</v>
      </c>
      <c r="B165" s="22">
        <v>354.0</v>
      </c>
      <c r="C165" s="46">
        <v>8901.0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1.75" customHeight="1">
      <c r="A166" s="47" t="s">
        <v>258</v>
      </c>
      <c r="B166" s="22">
        <v>217.0</v>
      </c>
      <c r="C166" s="46">
        <v>5150.0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1.75" customHeight="1">
      <c r="A167" s="47" t="s">
        <v>259</v>
      </c>
      <c r="B167" s="22">
        <v>34574.0</v>
      </c>
      <c r="C167" s="46">
        <v>214431.0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1.75" customHeight="1">
      <c r="A168" s="47" t="s">
        <v>260</v>
      </c>
      <c r="B168" s="22">
        <v>3424.0</v>
      </c>
      <c r="C168" s="46">
        <v>35971.0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1.75" customHeight="1">
      <c r="A169" s="47" t="s">
        <v>261</v>
      </c>
      <c r="B169" s="22">
        <v>23.0</v>
      </c>
      <c r="C169" s="46">
        <v>294.0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1.75" customHeight="1">
      <c r="A170" s="47" t="s">
        <v>262</v>
      </c>
      <c r="B170" s="22">
        <v>9.0</v>
      </c>
      <c r="C170" s="46">
        <v>114.0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1.75" customHeight="1">
      <c r="A171" s="47" t="s">
        <v>263</v>
      </c>
      <c r="B171" s="22">
        <v>344.0</v>
      </c>
      <c r="C171" s="46">
        <v>5309.0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1.75" customHeight="1">
      <c r="A172" s="47" t="s">
        <v>264</v>
      </c>
      <c r="B172" s="22">
        <v>729.0</v>
      </c>
      <c r="C172" s="46">
        <v>16740.0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1.75" customHeight="1">
      <c r="A173" s="47" t="s">
        <v>265</v>
      </c>
      <c r="B173" s="22">
        <v>5.0</v>
      </c>
      <c r="C173" s="46">
        <v>63.0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1.75" customHeight="1">
      <c r="A174" s="47" t="s">
        <v>266</v>
      </c>
      <c r="B174" s="22">
        <v>12649.0</v>
      </c>
      <c r="C174" s="46">
        <v>111951.0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1.75" customHeight="1">
      <c r="A175" s="47" t="s">
        <v>267</v>
      </c>
      <c r="B175" s="22">
        <v>1213.0</v>
      </c>
      <c r="C175" s="46">
        <v>15960.0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1.75" customHeight="1">
      <c r="A176" s="47" t="s">
        <v>268</v>
      </c>
      <c r="B176" s="22">
        <v>4275.0</v>
      </c>
      <c r="C176" s="46">
        <v>20734.0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1.75" customHeight="1">
      <c r="A177" s="47" t="s">
        <v>269</v>
      </c>
      <c r="B177" s="22">
        <v>1321.0</v>
      </c>
      <c r="C177" s="46">
        <v>24926.0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1.75" customHeight="1">
      <c r="A178" s="47" t="s">
        <v>270</v>
      </c>
      <c r="B178" s="22">
        <v>133.0</v>
      </c>
      <c r="C178" s="46">
        <v>8204.0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1.75" customHeight="1">
      <c r="A179" s="47" t="s">
        <v>271</v>
      </c>
      <c r="B179" s="22">
        <v>783.0</v>
      </c>
      <c r="C179" s="46">
        <v>21108.0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1.75" customHeight="1">
      <c r="A180" s="47" t="s">
        <v>272</v>
      </c>
      <c r="B180" s="22">
        <v>1326.0</v>
      </c>
      <c r="C180" s="46">
        <v>36776.0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1.75" customHeight="1">
      <c r="A181" s="47" t="s">
        <v>273</v>
      </c>
      <c r="B181" s="22">
        <v>827.0</v>
      </c>
      <c r="C181" s="46">
        <v>9126.0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1.75" customHeight="1">
      <c r="A182" s="47" t="s">
        <v>274</v>
      </c>
      <c r="B182" s="22">
        <v>54.0</v>
      </c>
      <c r="C182" s="46">
        <v>4262.0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1.75" customHeight="1">
      <c r="A183" s="47" t="s">
        <v>275</v>
      </c>
      <c r="B183" s="22">
        <v>10.0</v>
      </c>
      <c r="C183" s="46">
        <v>673.0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1.75" customHeight="1">
      <c r="A184" s="47" t="s">
        <v>276</v>
      </c>
      <c r="B184" s="22">
        <v>17.0</v>
      </c>
      <c r="C184" s="46">
        <v>3771.0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1.75" customHeight="1">
      <c r="A185" s="47" t="s">
        <v>277</v>
      </c>
      <c r="B185" s="22">
        <v>1091.0</v>
      </c>
      <c r="C185" s="46">
        <v>15652.0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1.75" customHeight="1">
      <c r="A186" s="47" t="s">
        <v>278</v>
      </c>
      <c r="B186" s="22">
        <v>35.0</v>
      </c>
      <c r="C186" s="46">
        <v>6299.0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1.75" customHeight="1">
      <c r="A187" s="47" t="s">
        <v>279</v>
      </c>
      <c r="B187" s="22">
        <v>101.0</v>
      </c>
      <c r="C187" s="46">
        <v>1159.0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1.75" customHeight="1">
      <c r="A188" s="47" t="s">
        <v>280</v>
      </c>
      <c r="B188" s="22">
        <v>3139.0</v>
      </c>
      <c r="C188" s="46">
        <v>9004.0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1.75" customHeight="1">
      <c r="A189" s="47" t="s">
        <v>281</v>
      </c>
      <c r="B189" s="22">
        <v>143.0</v>
      </c>
      <c r="C189" s="46">
        <v>1908.0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1.75" customHeight="1">
      <c r="A190" s="47" t="s">
        <v>282</v>
      </c>
      <c r="B190" s="22">
        <v>1711.0</v>
      </c>
      <c r="C190" s="46">
        <v>6999.0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1.75" customHeight="1">
      <c r="A191" s="47" t="s">
        <v>283</v>
      </c>
      <c r="B191" s="22">
        <v>43.0</v>
      </c>
      <c r="C191" s="46">
        <v>263.0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1.75" customHeight="1">
      <c r="A192" s="47" t="s">
        <v>284</v>
      </c>
      <c r="B192" s="22">
        <v>1783.0</v>
      </c>
      <c r="C192" s="46">
        <v>3757.0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1.75" customHeight="1">
      <c r="A193" s="47" t="s">
        <v>285</v>
      </c>
      <c r="B193" s="22">
        <v>337.0</v>
      </c>
      <c r="C193" s="46">
        <v>4611.0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1.75" customHeight="1">
      <c r="A194" s="47" t="s">
        <v>286</v>
      </c>
      <c r="B194" s="22">
        <v>19.0</v>
      </c>
      <c r="C194" s="46">
        <v>221.0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1.75" customHeight="1">
      <c r="A195" s="47" t="s">
        <v>287</v>
      </c>
      <c r="B195" s="22">
        <v>2302.0</v>
      </c>
      <c r="C195" s="46">
        <v>128520.0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1.75" customHeight="1">
      <c r="A196" s="47" t="s">
        <v>288</v>
      </c>
      <c r="B196" s="22">
        <v>572.0</v>
      </c>
      <c r="C196" s="46">
        <v>184565.0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1.75" customHeight="1">
      <c r="A197" s="47" t="s">
        <v>289</v>
      </c>
      <c r="B197" s="22">
        <v>11.0</v>
      </c>
      <c r="C197" s="46">
        <v>12898.0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1.75" customHeight="1">
      <c r="A198" s="47" t="s">
        <v>290</v>
      </c>
      <c r="B198" s="22">
        <v>1295.0</v>
      </c>
      <c r="C198" s="46">
        <v>7662.0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1.75" customHeight="1">
      <c r="A199" s="47" t="s">
        <v>291</v>
      </c>
      <c r="B199" s="22">
        <v>1242.0</v>
      </c>
      <c r="C199" s="46">
        <v>5684.0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1.75" customHeight="1">
      <c r="A200" s="47" t="s">
        <v>292</v>
      </c>
      <c r="B200" s="22">
        <v>1275.0</v>
      </c>
      <c r="C200" s="46">
        <v>177844.0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1.75" customHeight="1">
      <c r="A201" s="47" t="s">
        <v>293</v>
      </c>
      <c r="B201" s="22">
        <v>125.0</v>
      </c>
      <c r="C201" s="46">
        <v>4541.0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1.75" customHeight="1">
      <c r="A202" s="47" t="s">
        <v>294</v>
      </c>
      <c r="B202" s="22">
        <v>15.0</v>
      </c>
      <c r="C202" s="46">
        <v>405.0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1.75" customHeight="1">
      <c r="A203" s="47" t="s">
        <v>295</v>
      </c>
      <c r="B203" s="22">
        <v>18.0</v>
      </c>
      <c r="C203" s="46">
        <v>2409.0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1.75" customHeight="1">
      <c r="A204" s="47" t="s">
        <v>296</v>
      </c>
      <c r="B204" s="22">
        <v>320.0</v>
      </c>
      <c r="C204" s="46">
        <v>26635.0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1.75" customHeight="1">
      <c r="A205" s="47" t="s">
        <v>297</v>
      </c>
      <c r="B205" s="22">
        <v>84.0</v>
      </c>
      <c r="C205" s="46">
        <v>621.0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1.75" customHeight="1">
      <c r="A206" s="47" t="s">
        <v>298</v>
      </c>
      <c r="B206" s="22">
        <v>2465.0</v>
      </c>
      <c r="C206" s="46">
        <v>9097.0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1.75" customHeight="1">
      <c r="A207" s="47" t="s">
        <v>299</v>
      </c>
      <c r="B207" s="22">
        <v>1893.0</v>
      </c>
      <c r="C207" s="46">
        <v>545593.0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1.75" customHeight="1">
      <c r="A208" s="47" t="s">
        <v>300</v>
      </c>
      <c r="B208" s="22">
        <v>33.0</v>
      </c>
      <c r="C208" s="46">
        <v>347.0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1.75" customHeight="1">
      <c r="A209" s="47" t="s">
        <v>301</v>
      </c>
      <c r="B209" s="22">
        <v>957.0</v>
      </c>
      <c r="C209" s="46">
        <v>15885.0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1.75" customHeight="1">
      <c r="A210" s="47" t="s">
        <v>302</v>
      </c>
      <c r="B210" s="22">
        <v>2282.0</v>
      </c>
      <c r="C210" s="46">
        <v>18766.0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1.75" customHeight="1">
      <c r="A211" s="47" t="s">
        <v>303</v>
      </c>
      <c r="B211" s="22">
        <v>2709.0</v>
      </c>
      <c r="C211" s="46">
        <v>34779.0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1.75" customHeight="1">
      <c r="A212" s="47" t="s">
        <v>304</v>
      </c>
      <c r="B212" s="22">
        <v>3174.0</v>
      </c>
      <c r="C212" s="46">
        <v>87385.0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1.75" customHeight="1">
      <c r="A213" s="47" t="s">
        <v>305</v>
      </c>
      <c r="B213" s="22">
        <v>2081.0</v>
      </c>
      <c r="C213" s="46">
        <v>147061.0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1.75" customHeight="1">
      <c r="A214" s="47" t="s">
        <v>306</v>
      </c>
      <c r="B214" s="22">
        <v>2451.0</v>
      </c>
      <c r="C214" s="46">
        <v>25146.0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1.75" customHeight="1">
      <c r="A215" s="47" t="s">
        <v>307</v>
      </c>
      <c r="B215" s="22">
        <v>56.0</v>
      </c>
      <c r="C215" s="46">
        <v>1216.0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1.75" customHeight="1">
      <c r="A216" s="47" t="s">
        <v>308</v>
      </c>
      <c r="B216" s="22">
        <v>1517.0</v>
      </c>
      <c r="C216" s="46">
        <v>148201.0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1.75" customHeight="1">
      <c r="A217" s="47" t="s">
        <v>309</v>
      </c>
      <c r="B217" s="22">
        <v>23955.0</v>
      </c>
      <c r="C217" s="46">
        <v>94395.0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1.75" customHeight="1">
      <c r="A218" s="47" t="s">
        <v>310</v>
      </c>
      <c r="B218" s="22">
        <v>884.0</v>
      </c>
      <c r="C218" s="46">
        <v>7965.0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1.75" customHeight="1">
      <c r="A219" s="47" t="s">
        <v>311</v>
      </c>
      <c r="B219" s="22">
        <v>13.0</v>
      </c>
      <c r="C219" s="46">
        <v>233.0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1.75" customHeight="1">
      <c r="A220" s="47" t="s">
        <v>312</v>
      </c>
      <c r="B220" s="22">
        <v>69.0</v>
      </c>
      <c r="C220" s="46">
        <v>1360.0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1.75" customHeight="1">
      <c r="A221" s="47" t="s">
        <v>313</v>
      </c>
      <c r="B221" s="22">
        <v>8.0</v>
      </c>
      <c r="C221" s="46">
        <v>79.0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1.75" customHeight="1">
      <c r="A222" s="47" t="s">
        <v>314</v>
      </c>
      <c r="B222" s="22">
        <v>130.0</v>
      </c>
      <c r="C222" s="46">
        <v>2190.0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1.75" customHeight="1">
      <c r="A223" s="47" t="s">
        <v>315</v>
      </c>
      <c r="B223" s="22">
        <v>17.0</v>
      </c>
      <c r="C223" s="46">
        <v>127.0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1.75" customHeight="1">
      <c r="A224" s="47" t="s">
        <v>316</v>
      </c>
      <c r="B224" s="22">
        <v>425.0</v>
      </c>
      <c r="C224" s="46">
        <v>7943.0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1.75" customHeight="1">
      <c r="A225" s="47" t="s">
        <v>317</v>
      </c>
      <c r="B225" s="22">
        <v>461.0</v>
      </c>
      <c r="C225" s="46">
        <v>2018.0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1.75" customHeight="1">
      <c r="A226" s="47" t="s">
        <v>318</v>
      </c>
      <c r="B226" s="22">
        <v>118.0</v>
      </c>
      <c r="C226" s="46">
        <v>1365.0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1.75" customHeight="1">
      <c r="A227" s="47" t="s">
        <v>319</v>
      </c>
      <c r="B227" s="22">
        <v>5015.0</v>
      </c>
      <c r="C227" s="46">
        <v>39628.0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1.75" customHeight="1">
      <c r="A228" s="47" t="s">
        <v>320</v>
      </c>
      <c r="B228" s="22">
        <v>1214.0</v>
      </c>
      <c r="C228" s="46">
        <v>7238.0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1.75" customHeight="1">
      <c r="A229" s="47" t="s">
        <v>321</v>
      </c>
      <c r="B229" s="22">
        <v>5052.0</v>
      </c>
      <c r="C229" s="46">
        <v>28286.0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1.75" customHeight="1">
      <c r="A230" s="47" t="s">
        <v>322</v>
      </c>
      <c r="B230" s="22">
        <v>3277.0</v>
      </c>
      <c r="C230" s="46">
        <v>9783.0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1.75" customHeight="1">
      <c r="A231" s="47" t="s">
        <v>323</v>
      </c>
      <c r="B231" s="22">
        <v>9363.0</v>
      </c>
      <c r="C231" s="46">
        <v>27741.0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1.75" customHeight="1">
      <c r="A232" s="47" t="s">
        <v>324</v>
      </c>
      <c r="B232" s="22">
        <v>40483.0</v>
      </c>
      <c r="C232" s="46">
        <v>124067.0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1.75" customHeight="1">
      <c r="A233" s="47" t="s">
        <v>325</v>
      </c>
      <c r="B233" s="22">
        <v>11527.0</v>
      </c>
      <c r="C233" s="46">
        <v>24400.0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1.75" customHeight="1">
      <c r="A234" s="47" t="s">
        <v>326</v>
      </c>
      <c r="B234" s="22">
        <v>3224.0</v>
      </c>
      <c r="C234" s="46">
        <v>16764.0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1.75" customHeight="1">
      <c r="A235" s="47" t="s">
        <v>327</v>
      </c>
      <c r="B235" s="22">
        <v>2.0</v>
      </c>
      <c r="C235" s="46">
        <v>9.0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1.75" customHeight="1">
      <c r="A236" s="51" t="s">
        <v>328</v>
      </c>
      <c r="B236" s="49">
        <v>708.0</v>
      </c>
      <c r="C236" s="50">
        <v>2522.0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53"/>
      <c r="B237" s="22"/>
      <c r="C237" s="2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 t="s">
        <v>96</v>
      </c>
      <c r="B238" s="2"/>
      <c r="C238" s="5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53" t="s">
        <v>97</v>
      </c>
      <c r="B239" s="2"/>
      <c r="C239" s="5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53"/>
      <c r="B240" s="22"/>
      <c r="C240" s="2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53"/>
      <c r="B241" s="22"/>
      <c r="C241" s="2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53"/>
      <c r="B242" s="22"/>
      <c r="C242" s="2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53"/>
      <c r="B243" s="22"/>
      <c r="C243" s="2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53"/>
      <c r="B244" s="22"/>
      <c r="C244" s="2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53"/>
      <c r="B245" s="22"/>
      <c r="C245" s="2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53"/>
      <c r="B246" s="22"/>
      <c r="C246" s="2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53"/>
      <c r="B247" s="22"/>
      <c r="C247" s="2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53"/>
      <c r="B248" s="22"/>
      <c r="C248" s="2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53"/>
      <c r="B249" s="22"/>
      <c r="C249" s="2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53"/>
      <c r="B250" s="22"/>
      <c r="C250" s="2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53"/>
      <c r="B251" s="22"/>
      <c r="C251" s="2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53"/>
      <c r="B252" s="22"/>
      <c r="C252" s="2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53"/>
      <c r="B253" s="22"/>
      <c r="C253" s="2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53"/>
      <c r="B254" s="22"/>
      <c r="C254" s="2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53"/>
      <c r="B255" s="22"/>
      <c r="C255" s="2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53"/>
      <c r="B256" s="22"/>
      <c r="C256" s="2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53"/>
      <c r="B257" s="22"/>
      <c r="C257" s="2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53"/>
      <c r="B258" s="22"/>
      <c r="C258" s="2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53"/>
      <c r="B259" s="22"/>
      <c r="C259" s="2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53"/>
      <c r="B260" s="22"/>
      <c r="C260" s="2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53"/>
      <c r="B261" s="22"/>
      <c r="C261" s="2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53"/>
      <c r="B262" s="22"/>
      <c r="C262" s="2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53"/>
      <c r="B263" s="22"/>
      <c r="C263" s="2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53"/>
      <c r="B264" s="22"/>
      <c r="C264" s="2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53"/>
      <c r="B265" s="22"/>
      <c r="C265" s="2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53"/>
      <c r="B266" s="22"/>
      <c r="C266" s="2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53"/>
      <c r="B267" s="22"/>
      <c r="C267" s="2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53"/>
      <c r="B268" s="22"/>
      <c r="C268" s="2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53"/>
      <c r="B269" s="22"/>
      <c r="C269" s="2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53"/>
      <c r="B270" s="22"/>
      <c r="C270" s="2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53"/>
      <c r="B271" s="22"/>
      <c r="C271" s="2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53"/>
      <c r="B272" s="22"/>
      <c r="C272" s="2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53"/>
      <c r="B273" s="22"/>
      <c r="C273" s="2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53"/>
      <c r="B274" s="22"/>
      <c r="C274" s="2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53"/>
      <c r="B275" s="22"/>
      <c r="C275" s="2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53"/>
      <c r="B276" s="22"/>
      <c r="C276" s="2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53"/>
      <c r="B277" s="22"/>
      <c r="C277" s="2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53"/>
      <c r="B278" s="22"/>
      <c r="C278" s="2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53"/>
      <c r="B279" s="22"/>
      <c r="C279" s="2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53"/>
      <c r="B280" s="22"/>
      <c r="C280" s="2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53"/>
      <c r="B281" s="22"/>
      <c r="C281" s="2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53"/>
      <c r="B282" s="22"/>
      <c r="C282" s="2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53"/>
      <c r="B283" s="22"/>
      <c r="C283" s="2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53"/>
      <c r="B284" s="22"/>
      <c r="C284" s="2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53"/>
      <c r="B285" s="22"/>
      <c r="C285" s="2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53"/>
      <c r="B286" s="22"/>
      <c r="C286" s="2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53"/>
      <c r="B287" s="22"/>
      <c r="C287" s="2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53"/>
      <c r="B288" s="22"/>
      <c r="C288" s="2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53"/>
      <c r="B289" s="22"/>
      <c r="C289" s="2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53"/>
      <c r="B290" s="22"/>
      <c r="C290" s="2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53"/>
      <c r="B291" s="22"/>
      <c r="C291" s="2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53"/>
      <c r="B292" s="22"/>
      <c r="C292" s="2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53"/>
      <c r="B293" s="22"/>
      <c r="C293" s="2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53"/>
      <c r="B294" s="22"/>
      <c r="C294" s="2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53"/>
      <c r="B295" s="22"/>
      <c r="C295" s="2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53"/>
      <c r="B296" s="22"/>
      <c r="C296" s="2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53"/>
      <c r="B297" s="22"/>
      <c r="C297" s="2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53"/>
      <c r="B298" s="22"/>
      <c r="C298" s="2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53"/>
      <c r="B299" s="22"/>
      <c r="C299" s="2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53"/>
      <c r="B300" s="22"/>
      <c r="C300" s="2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53"/>
      <c r="B301" s="22"/>
      <c r="C301" s="2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53"/>
      <c r="B302" s="22"/>
      <c r="C302" s="2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53"/>
      <c r="B303" s="22"/>
      <c r="C303" s="2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53"/>
      <c r="B304" s="22"/>
      <c r="C304" s="2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53"/>
      <c r="B305" s="22"/>
      <c r="C305" s="2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53"/>
      <c r="B306" s="22"/>
      <c r="C306" s="2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53"/>
      <c r="B307" s="22"/>
      <c r="C307" s="2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53"/>
      <c r="B308" s="22"/>
      <c r="C308" s="2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53"/>
      <c r="B309" s="22"/>
      <c r="C309" s="2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53"/>
      <c r="B310" s="22"/>
      <c r="C310" s="2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53"/>
      <c r="B311" s="22"/>
      <c r="C311" s="2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53"/>
      <c r="B312" s="22"/>
      <c r="C312" s="2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53"/>
      <c r="B313" s="22"/>
      <c r="C313" s="2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53"/>
      <c r="B314" s="22"/>
      <c r="C314" s="2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53"/>
      <c r="B315" s="22"/>
      <c r="C315" s="2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53"/>
      <c r="B316" s="22"/>
      <c r="C316" s="2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53"/>
      <c r="B317" s="22"/>
      <c r="C317" s="2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53"/>
      <c r="B318" s="22"/>
      <c r="C318" s="2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53"/>
      <c r="B319" s="22"/>
      <c r="C319" s="2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53"/>
      <c r="B320" s="22"/>
      <c r="C320" s="2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53"/>
      <c r="B321" s="22"/>
      <c r="C321" s="2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53"/>
      <c r="B322" s="22"/>
      <c r="C322" s="2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53"/>
      <c r="B323" s="22"/>
      <c r="C323" s="2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53"/>
      <c r="B324" s="22"/>
      <c r="C324" s="2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53"/>
      <c r="B325" s="22"/>
      <c r="C325" s="2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53"/>
      <c r="B326" s="22"/>
      <c r="C326" s="2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53"/>
      <c r="B327" s="22"/>
      <c r="C327" s="2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53"/>
      <c r="B328" s="22"/>
      <c r="C328" s="2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53"/>
      <c r="B329" s="22"/>
      <c r="C329" s="2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53"/>
      <c r="B330" s="22"/>
      <c r="C330" s="2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53"/>
      <c r="B331" s="22"/>
      <c r="C331" s="2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53"/>
      <c r="B332" s="22"/>
      <c r="C332" s="2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53"/>
      <c r="B333" s="22"/>
      <c r="C333" s="2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2"/>
      <c r="C334" s="2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53"/>
      <c r="B335" s="22"/>
      <c r="C335" s="2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53"/>
      <c r="B336" s="22"/>
      <c r="C336" s="2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53"/>
      <c r="B337" s="22"/>
      <c r="C337" s="2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53"/>
      <c r="B338" s="22"/>
      <c r="C338" s="2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53"/>
      <c r="B339" s="22"/>
      <c r="C339" s="2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53"/>
      <c r="B340" s="22"/>
      <c r="C340" s="2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53"/>
      <c r="B341" s="22"/>
      <c r="C341" s="2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53"/>
      <c r="B342" s="22"/>
      <c r="C342" s="2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53"/>
      <c r="B343" s="22"/>
      <c r="C343" s="2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53"/>
      <c r="B344" s="22"/>
      <c r="C344" s="2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53"/>
      <c r="B345" s="22"/>
      <c r="C345" s="2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53"/>
      <c r="B346" s="22"/>
      <c r="C346" s="2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53"/>
      <c r="B347" s="22"/>
      <c r="C347" s="2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53"/>
      <c r="B348" s="22"/>
      <c r="C348" s="2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53"/>
      <c r="B349" s="22"/>
      <c r="C349" s="2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53"/>
      <c r="B350" s="22"/>
      <c r="C350" s="2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53"/>
      <c r="B351" s="22"/>
      <c r="C351" s="2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53"/>
      <c r="B352" s="22"/>
      <c r="C352" s="2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53"/>
      <c r="B353" s="22"/>
      <c r="C353" s="2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53"/>
      <c r="B354" s="22"/>
      <c r="C354" s="2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53"/>
      <c r="B355" s="22"/>
      <c r="C355" s="2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53"/>
      <c r="B356" s="22"/>
      <c r="C356" s="2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53"/>
      <c r="B357" s="22"/>
      <c r="C357" s="2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53"/>
      <c r="B358" s="22"/>
      <c r="C358" s="2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53"/>
      <c r="B359" s="22"/>
      <c r="C359" s="2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53"/>
      <c r="B360" s="22"/>
      <c r="C360" s="2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53"/>
      <c r="B361" s="22"/>
      <c r="C361" s="2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53"/>
      <c r="B362" s="22"/>
      <c r="C362" s="2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53"/>
      <c r="B363" s="22"/>
      <c r="C363" s="2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53"/>
      <c r="B364" s="22"/>
      <c r="C364" s="2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53"/>
      <c r="B365" s="22"/>
      <c r="C365" s="2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53"/>
      <c r="B366" s="22"/>
      <c r="C366" s="2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53"/>
      <c r="B367" s="22"/>
      <c r="C367" s="2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53"/>
      <c r="B368" s="22"/>
      <c r="C368" s="2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53"/>
      <c r="B369" s="22"/>
      <c r="C369" s="2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53"/>
      <c r="B370" s="22"/>
      <c r="C370" s="2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53"/>
      <c r="B371" s="22"/>
      <c r="C371" s="2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53"/>
      <c r="B372" s="22"/>
      <c r="C372" s="2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53"/>
      <c r="B373" s="22"/>
      <c r="C373" s="2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53"/>
      <c r="B374" s="22"/>
      <c r="C374" s="2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53"/>
      <c r="B375" s="22"/>
      <c r="C375" s="2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53"/>
      <c r="B376" s="22"/>
      <c r="C376" s="2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53"/>
      <c r="B377" s="22"/>
      <c r="C377" s="2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53"/>
      <c r="B378" s="22"/>
      <c r="C378" s="2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53"/>
      <c r="B379" s="22"/>
      <c r="C379" s="2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53"/>
      <c r="B380" s="22"/>
      <c r="C380" s="2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53"/>
      <c r="B381" s="22"/>
      <c r="C381" s="2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53"/>
      <c r="B382" s="22"/>
      <c r="C382" s="2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53"/>
      <c r="B383" s="22"/>
      <c r="C383" s="2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53"/>
      <c r="B384" s="22"/>
      <c r="C384" s="2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53"/>
      <c r="B385" s="22"/>
      <c r="C385" s="2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53"/>
      <c r="B386" s="22"/>
      <c r="C386" s="2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53"/>
      <c r="B387" s="22"/>
      <c r="C387" s="2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53"/>
      <c r="B388" s="22"/>
      <c r="C388" s="2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53"/>
      <c r="B389" s="22"/>
      <c r="C389" s="2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53"/>
      <c r="B390" s="22"/>
      <c r="C390" s="2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53"/>
      <c r="B391" s="22"/>
      <c r="C391" s="2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53"/>
      <c r="B392" s="22"/>
      <c r="C392" s="2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53"/>
      <c r="B393" s="22"/>
      <c r="C393" s="2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53"/>
      <c r="B394" s="22"/>
      <c r="C394" s="2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53"/>
      <c r="B395" s="22"/>
      <c r="C395" s="2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53"/>
      <c r="B396" s="22"/>
      <c r="C396" s="2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53"/>
      <c r="B397" s="22"/>
      <c r="C397" s="2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53"/>
      <c r="B398" s="22"/>
      <c r="C398" s="2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53"/>
      <c r="B399" s="22"/>
      <c r="C399" s="2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53"/>
      <c r="B400" s="22"/>
      <c r="C400" s="2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53"/>
      <c r="B401" s="22"/>
      <c r="C401" s="2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53"/>
      <c r="B402" s="22"/>
      <c r="C402" s="2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53"/>
      <c r="B403" s="22"/>
      <c r="C403" s="2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53"/>
      <c r="B404" s="22"/>
      <c r="C404" s="2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53"/>
      <c r="B405" s="22"/>
      <c r="C405" s="2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53"/>
      <c r="B406" s="22"/>
      <c r="C406" s="2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53"/>
      <c r="B407" s="22"/>
      <c r="C407" s="2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53"/>
      <c r="B408" s="22"/>
      <c r="C408" s="2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53"/>
      <c r="B409" s="22"/>
      <c r="C409" s="2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53"/>
      <c r="B410" s="22"/>
      <c r="C410" s="2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53"/>
      <c r="B411" s="22"/>
      <c r="C411" s="2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53"/>
      <c r="B412" s="22"/>
      <c r="C412" s="2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53"/>
      <c r="B413" s="22"/>
      <c r="C413" s="2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53"/>
      <c r="B414" s="22"/>
      <c r="C414" s="2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53"/>
      <c r="B415" s="22"/>
      <c r="C415" s="2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53"/>
      <c r="B416" s="22"/>
      <c r="C416" s="2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53"/>
      <c r="B417" s="22"/>
      <c r="C417" s="2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53"/>
      <c r="B418" s="22"/>
      <c r="C418" s="2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53"/>
      <c r="B419" s="22"/>
      <c r="C419" s="2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53"/>
      <c r="B420" s="22"/>
      <c r="C420" s="2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53"/>
      <c r="B421" s="22"/>
      <c r="C421" s="2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53"/>
      <c r="B422" s="22"/>
      <c r="C422" s="2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53"/>
      <c r="B423" s="22"/>
      <c r="C423" s="2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53"/>
      <c r="B424" s="22"/>
      <c r="C424" s="2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53"/>
      <c r="B425" s="22"/>
      <c r="C425" s="2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53"/>
      <c r="B426" s="22"/>
      <c r="C426" s="2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53"/>
      <c r="B427" s="22"/>
      <c r="C427" s="2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53"/>
      <c r="B428" s="22"/>
      <c r="C428" s="2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53"/>
      <c r="B429" s="22"/>
      <c r="C429" s="2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53"/>
      <c r="B430" s="22"/>
      <c r="C430" s="2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53"/>
      <c r="B431" s="22"/>
      <c r="C431" s="2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53"/>
      <c r="B432" s="22"/>
      <c r="C432" s="2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53"/>
      <c r="B433" s="22"/>
      <c r="C433" s="2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53"/>
      <c r="B434" s="22"/>
      <c r="C434" s="2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53"/>
      <c r="B435" s="22"/>
      <c r="C435" s="2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53"/>
      <c r="B436" s="22"/>
      <c r="C436" s="2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53"/>
      <c r="B437" s="22"/>
      <c r="C437" s="2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53"/>
      <c r="B438" s="22"/>
      <c r="C438" s="2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53"/>
      <c r="B439" s="22"/>
      <c r="C439" s="2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43"/>
      <c r="C440" s="4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43"/>
      <c r="C441" s="4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43"/>
      <c r="C442" s="4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43"/>
      <c r="C443" s="4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43"/>
      <c r="C444" s="4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43"/>
      <c r="C445" s="4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43"/>
      <c r="C446" s="4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43"/>
      <c r="C447" s="4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43"/>
      <c r="C448" s="4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43"/>
      <c r="C449" s="4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43"/>
      <c r="C450" s="4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43"/>
      <c r="C451" s="4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43"/>
      <c r="C452" s="4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43"/>
      <c r="C453" s="4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43"/>
      <c r="C454" s="4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43"/>
      <c r="C455" s="4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43"/>
      <c r="C456" s="4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43"/>
      <c r="C457" s="4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43"/>
      <c r="C458" s="4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43"/>
      <c r="C459" s="4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43"/>
      <c r="C460" s="4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43"/>
      <c r="C461" s="4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43"/>
      <c r="C462" s="4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43"/>
      <c r="C463" s="4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43"/>
      <c r="C464" s="4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43"/>
      <c r="C465" s="4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43"/>
      <c r="C466" s="4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43"/>
      <c r="C467" s="4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43"/>
      <c r="C468" s="4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43"/>
      <c r="C469" s="4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43"/>
      <c r="C470" s="4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43"/>
      <c r="C471" s="4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43"/>
      <c r="C472" s="4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43"/>
      <c r="C473" s="4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43"/>
      <c r="C474" s="4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43"/>
      <c r="C475" s="4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43"/>
      <c r="C476" s="4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43"/>
      <c r="C477" s="4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43"/>
      <c r="C478" s="4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43"/>
      <c r="C479" s="4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43"/>
      <c r="C480" s="4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43"/>
      <c r="C481" s="4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43"/>
      <c r="C482" s="4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43"/>
      <c r="C483" s="4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43"/>
      <c r="C484" s="4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43"/>
      <c r="C485" s="4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43"/>
      <c r="C486" s="4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43"/>
      <c r="C487" s="4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43"/>
      <c r="C488" s="4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43"/>
      <c r="C489" s="4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43"/>
      <c r="C490" s="4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43"/>
      <c r="C491" s="4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43"/>
      <c r="C492" s="4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43"/>
      <c r="C493" s="4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43"/>
      <c r="C494" s="4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43"/>
      <c r="C495" s="4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43"/>
      <c r="C496" s="4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43"/>
      <c r="C497" s="4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43"/>
      <c r="C498" s="4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43"/>
      <c r="C499" s="4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43"/>
      <c r="C500" s="4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43"/>
      <c r="C501" s="4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43"/>
      <c r="C502" s="4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43"/>
      <c r="C503" s="4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43"/>
      <c r="C504" s="4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43"/>
      <c r="C505" s="4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43"/>
      <c r="C506" s="4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43"/>
      <c r="C507" s="4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43"/>
      <c r="C508" s="4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43"/>
      <c r="C509" s="4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43"/>
      <c r="C510" s="4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43"/>
      <c r="C511" s="4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43"/>
      <c r="C512" s="4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43"/>
      <c r="C513" s="4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43"/>
      <c r="C514" s="4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43"/>
      <c r="C515" s="4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43"/>
      <c r="C516" s="4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43"/>
      <c r="C517" s="4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43"/>
      <c r="C518" s="4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43"/>
      <c r="C519" s="4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43"/>
      <c r="C520" s="4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43"/>
      <c r="C521" s="4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43"/>
      <c r="C522" s="4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43"/>
      <c r="C523" s="4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43"/>
      <c r="C524" s="4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43"/>
      <c r="C525" s="4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43"/>
      <c r="C526" s="4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43"/>
      <c r="C527" s="4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43"/>
      <c r="C528" s="4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43"/>
      <c r="C529" s="4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43"/>
      <c r="C530" s="4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43"/>
      <c r="C531" s="4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43"/>
      <c r="C532" s="4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43"/>
      <c r="C533" s="4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43"/>
      <c r="C534" s="4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43"/>
      <c r="C535" s="4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43"/>
      <c r="C536" s="4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43"/>
      <c r="C537" s="4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43"/>
      <c r="C538" s="4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43"/>
      <c r="C539" s="4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43"/>
      <c r="C540" s="4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43"/>
      <c r="C541" s="4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43"/>
      <c r="C542" s="4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43"/>
      <c r="C543" s="4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43"/>
      <c r="C544" s="4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43"/>
      <c r="C545" s="4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43"/>
      <c r="C546" s="4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43"/>
      <c r="C547" s="4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43"/>
      <c r="C548" s="4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43"/>
      <c r="C549" s="4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43"/>
      <c r="C550" s="4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43"/>
      <c r="C551" s="4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43"/>
      <c r="C552" s="4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43"/>
      <c r="C553" s="4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43"/>
      <c r="C554" s="4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43"/>
      <c r="C555" s="4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43"/>
      <c r="C556" s="4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43"/>
      <c r="C557" s="4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43"/>
      <c r="C558" s="4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43"/>
      <c r="C559" s="4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43"/>
      <c r="C560" s="4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43"/>
      <c r="C561" s="4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43"/>
      <c r="C562" s="4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43"/>
      <c r="C563" s="4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43"/>
      <c r="C564" s="4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43"/>
      <c r="C565" s="4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43"/>
      <c r="C566" s="4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43"/>
      <c r="C567" s="4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43"/>
      <c r="C568" s="4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43"/>
      <c r="C569" s="4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43"/>
      <c r="C570" s="4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43"/>
      <c r="C571" s="4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43"/>
      <c r="C572" s="4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43"/>
      <c r="C573" s="4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43"/>
      <c r="C574" s="4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43"/>
      <c r="C575" s="4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43"/>
      <c r="C576" s="4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43"/>
      <c r="C577" s="4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43"/>
      <c r="C578" s="4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43"/>
      <c r="C579" s="4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43"/>
      <c r="C580" s="4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43"/>
      <c r="C581" s="4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43"/>
      <c r="C582" s="4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43"/>
      <c r="C583" s="4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43"/>
      <c r="C584" s="4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43"/>
      <c r="C585" s="4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43"/>
      <c r="C586" s="4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43"/>
      <c r="C587" s="4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43"/>
      <c r="C588" s="4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43"/>
      <c r="C589" s="4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43"/>
      <c r="C590" s="4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43"/>
      <c r="C591" s="4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43"/>
      <c r="C592" s="4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43"/>
      <c r="C593" s="4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43"/>
      <c r="C594" s="4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43"/>
      <c r="C595" s="4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43"/>
      <c r="C596" s="4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43"/>
      <c r="C597" s="4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43"/>
      <c r="C598" s="4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43"/>
      <c r="C599" s="4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43"/>
      <c r="C600" s="4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43"/>
      <c r="C601" s="4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43"/>
      <c r="C602" s="4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43"/>
      <c r="C603" s="4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43"/>
      <c r="C604" s="4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43"/>
      <c r="C605" s="4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43"/>
      <c r="C606" s="4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43"/>
      <c r="C607" s="4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43"/>
      <c r="C608" s="4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43"/>
      <c r="C609" s="4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43"/>
      <c r="C610" s="4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43"/>
      <c r="C611" s="4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43"/>
      <c r="C612" s="4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43"/>
      <c r="C613" s="4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43"/>
      <c r="C614" s="4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43"/>
      <c r="C615" s="4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43"/>
      <c r="C616" s="4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43"/>
      <c r="C617" s="4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43"/>
      <c r="C618" s="4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43"/>
      <c r="C619" s="4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43"/>
      <c r="C620" s="4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43"/>
      <c r="C621" s="4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43"/>
      <c r="C622" s="4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43"/>
      <c r="C623" s="4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43"/>
      <c r="C624" s="4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43"/>
      <c r="C625" s="4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43"/>
      <c r="C626" s="4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43"/>
      <c r="C627" s="4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43"/>
      <c r="C628" s="4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43"/>
      <c r="C629" s="4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43"/>
      <c r="C630" s="4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43"/>
      <c r="C631" s="4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43"/>
      <c r="C632" s="4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43"/>
      <c r="C633" s="4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43"/>
      <c r="C634" s="4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43"/>
      <c r="C635" s="4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43"/>
      <c r="C636" s="4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43"/>
      <c r="C637" s="4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43"/>
      <c r="C638" s="4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43"/>
      <c r="C639" s="4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43"/>
      <c r="C640" s="4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43"/>
      <c r="C641" s="4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43"/>
      <c r="C642" s="4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43"/>
      <c r="C643" s="4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43"/>
      <c r="C644" s="4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43"/>
      <c r="C645" s="4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43"/>
      <c r="C646" s="4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43"/>
      <c r="C647" s="4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43"/>
      <c r="C648" s="4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43"/>
      <c r="C649" s="4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43"/>
      <c r="C650" s="4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43"/>
      <c r="C651" s="4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43"/>
      <c r="C652" s="4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43"/>
      <c r="C653" s="4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43"/>
      <c r="C654" s="4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43"/>
      <c r="C655" s="4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43"/>
      <c r="C656" s="4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43"/>
      <c r="C657" s="4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43"/>
      <c r="C658" s="4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43"/>
      <c r="C659" s="4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43"/>
      <c r="C660" s="4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43"/>
      <c r="C661" s="4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43"/>
      <c r="C662" s="4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43"/>
      <c r="C663" s="4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43"/>
      <c r="C664" s="4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43"/>
      <c r="C665" s="4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43"/>
      <c r="C666" s="4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43"/>
      <c r="C667" s="4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43"/>
      <c r="C668" s="4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43"/>
      <c r="C669" s="4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43"/>
      <c r="C670" s="4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43"/>
      <c r="C671" s="4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43"/>
      <c r="C672" s="4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43"/>
      <c r="C673" s="4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43"/>
      <c r="C674" s="4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43"/>
      <c r="C675" s="4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43"/>
      <c r="C676" s="4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43"/>
      <c r="C677" s="4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43"/>
      <c r="C678" s="4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43"/>
      <c r="C679" s="4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43"/>
      <c r="C680" s="4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43"/>
      <c r="C681" s="4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43"/>
      <c r="C682" s="4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43"/>
      <c r="C683" s="4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43"/>
      <c r="C684" s="4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43"/>
      <c r="C685" s="4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43"/>
      <c r="C686" s="4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43"/>
      <c r="C687" s="4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43"/>
      <c r="C688" s="4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43"/>
      <c r="C689" s="4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43"/>
      <c r="C690" s="4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43"/>
      <c r="C691" s="4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43"/>
      <c r="C692" s="4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43"/>
      <c r="C693" s="4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43"/>
      <c r="C694" s="4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43"/>
      <c r="C695" s="4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43"/>
      <c r="C696" s="4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43"/>
      <c r="C697" s="4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43"/>
      <c r="C698" s="4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43"/>
      <c r="C699" s="4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43"/>
      <c r="C700" s="4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43"/>
      <c r="C701" s="4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43"/>
      <c r="C702" s="4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43"/>
      <c r="C703" s="4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43"/>
      <c r="C704" s="4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43"/>
      <c r="C705" s="4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43"/>
      <c r="C706" s="4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43"/>
      <c r="C707" s="4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43"/>
      <c r="C708" s="4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43"/>
      <c r="C709" s="4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43"/>
      <c r="C710" s="4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43"/>
      <c r="C711" s="4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43"/>
      <c r="C712" s="4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43"/>
      <c r="C713" s="4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43"/>
      <c r="C714" s="4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43"/>
      <c r="C715" s="4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43"/>
      <c r="C716" s="4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43"/>
      <c r="C717" s="4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43"/>
      <c r="C718" s="4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43"/>
      <c r="C719" s="4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43"/>
      <c r="C720" s="4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43"/>
      <c r="C721" s="4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43"/>
      <c r="C722" s="4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43"/>
      <c r="C723" s="4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43"/>
      <c r="C724" s="4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43"/>
      <c r="C725" s="4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43"/>
      <c r="C726" s="4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43"/>
      <c r="C727" s="4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43"/>
      <c r="C728" s="4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43"/>
      <c r="C729" s="4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43"/>
      <c r="C730" s="4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43"/>
      <c r="C731" s="4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43"/>
      <c r="C732" s="4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43"/>
      <c r="C733" s="4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43"/>
      <c r="C734" s="4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43"/>
      <c r="C735" s="4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43"/>
      <c r="C736" s="4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43"/>
      <c r="C737" s="4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43"/>
      <c r="C738" s="4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43"/>
      <c r="C739" s="4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43"/>
      <c r="C740" s="4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43"/>
      <c r="C741" s="4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43"/>
      <c r="C742" s="4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43"/>
      <c r="C743" s="4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43"/>
      <c r="C744" s="4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43"/>
      <c r="C745" s="4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43"/>
      <c r="C746" s="4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43"/>
      <c r="C747" s="4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43"/>
      <c r="C748" s="4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43"/>
      <c r="C749" s="4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43"/>
      <c r="C750" s="4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43"/>
      <c r="C751" s="4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43"/>
      <c r="C752" s="4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43"/>
      <c r="C753" s="4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43"/>
      <c r="C754" s="4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43"/>
      <c r="C755" s="4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43"/>
      <c r="C756" s="4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43"/>
      <c r="C757" s="4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43"/>
      <c r="C758" s="4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43"/>
      <c r="C759" s="4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43"/>
      <c r="C760" s="4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43"/>
      <c r="C761" s="4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43"/>
      <c r="C762" s="4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43"/>
      <c r="C763" s="4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43"/>
      <c r="C764" s="4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43"/>
      <c r="C765" s="4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43"/>
      <c r="C766" s="4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43"/>
      <c r="C767" s="4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43"/>
      <c r="C768" s="4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43"/>
      <c r="C769" s="4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43"/>
      <c r="C770" s="4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43"/>
      <c r="C771" s="4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43"/>
      <c r="C772" s="4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43"/>
      <c r="C773" s="4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43"/>
      <c r="C774" s="4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43"/>
      <c r="C775" s="4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43"/>
      <c r="C776" s="4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43"/>
      <c r="C777" s="4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43"/>
      <c r="C778" s="4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43"/>
      <c r="C779" s="4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43"/>
      <c r="C780" s="4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43"/>
      <c r="C781" s="4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43"/>
      <c r="C782" s="4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43"/>
      <c r="C783" s="4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43"/>
      <c r="C784" s="4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43"/>
      <c r="C785" s="4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43"/>
      <c r="C786" s="4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43"/>
      <c r="C787" s="4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43"/>
      <c r="C788" s="4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43"/>
      <c r="C789" s="4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43"/>
      <c r="C790" s="4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43"/>
      <c r="C791" s="4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43"/>
      <c r="C792" s="4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43"/>
      <c r="C793" s="4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43"/>
      <c r="C794" s="4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43"/>
      <c r="C795" s="4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43"/>
      <c r="C796" s="4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43"/>
      <c r="C797" s="4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43"/>
      <c r="C798" s="4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43"/>
      <c r="C799" s="4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43"/>
      <c r="C800" s="4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43"/>
      <c r="C801" s="4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43"/>
      <c r="C802" s="4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43"/>
      <c r="C803" s="4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43"/>
      <c r="C804" s="4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43"/>
      <c r="C805" s="4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43"/>
      <c r="C806" s="4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43"/>
      <c r="C807" s="4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43"/>
      <c r="C808" s="4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43"/>
      <c r="C809" s="4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43"/>
      <c r="C810" s="4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43"/>
      <c r="C811" s="4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43"/>
      <c r="C812" s="4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43"/>
      <c r="C813" s="4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43"/>
      <c r="C814" s="4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43"/>
      <c r="C815" s="4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43"/>
      <c r="C816" s="4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43"/>
      <c r="C817" s="4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43"/>
      <c r="C818" s="4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43"/>
      <c r="C819" s="4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43"/>
      <c r="C820" s="4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43"/>
      <c r="C821" s="4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43"/>
      <c r="C822" s="4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43"/>
      <c r="C823" s="4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43"/>
      <c r="C824" s="4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43"/>
      <c r="C825" s="4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43"/>
      <c r="C826" s="4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43"/>
      <c r="C827" s="4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43"/>
      <c r="C828" s="4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43"/>
      <c r="C829" s="4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43"/>
      <c r="C830" s="4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43"/>
      <c r="C831" s="4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43"/>
      <c r="C832" s="4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43"/>
      <c r="C833" s="4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43"/>
      <c r="C834" s="4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43"/>
      <c r="C835" s="4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43"/>
      <c r="C836" s="4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43"/>
      <c r="C837" s="4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43"/>
      <c r="C838" s="4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43"/>
      <c r="C839" s="4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43"/>
      <c r="C840" s="4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43"/>
      <c r="C841" s="4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43"/>
      <c r="C842" s="4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43"/>
      <c r="C843" s="4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43"/>
      <c r="C844" s="4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43"/>
      <c r="C845" s="4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43"/>
      <c r="C846" s="4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43"/>
      <c r="C847" s="4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43"/>
      <c r="C848" s="4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43"/>
      <c r="C849" s="4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43"/>
      <c r="C850" s="4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43"/>
      <c r="C851" s="4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43"/>
      <c r="C852" s="4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43"/>
      <c r="C853" s="4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43"/>
      <c r="C854" s="4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43"/>
      <c r="C855" s="4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43"/>
      <c r="C856" s="4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43"/>
      <c r="C857" s="4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43"/>
      <c r="C858" s="4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43"/>
      <c r="C859" s="4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43"/>
      <c r="C860" s="4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43"/>
      <c r="C861" s="4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43"/>
      <c r="C862" s="4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43"/>
      <c r="C863" s="4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43"/>
      <c r="C864" s="4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43"/>
      <c r="C865" s="4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43"/>
      <c r="C866" s="4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43"/>
      <c r="C867" s="4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43"/>
      <c r="C868" s="4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43"/>
      <c r="C869" s="4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43"/>
      <c r="C870" s="4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43"/>
      <c r="C871" s="4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43"/>
      <c r="C872" s="4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43"/>
      <c r="C873" s="4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43"/>
      <c r="C874" s="4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43"/>
      <c r="C875" s="4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43"/>
      <c r="C876" s="4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43"/>
      <c r="C877" s="4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43"/>
      <c r="C878" s="4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43"/>
      <c r="C879" s="4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43"/>
      <c r="C880" s="4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43"/>
      <c r="C881" s="4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43"/>
      <c r="C882" s="4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43"/>
      <c r="C883" s="4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43"/>
      <c r="C884" s="4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43"/>
      <c r="C885" s="4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43"/>
      <c r="C886" s="4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43"/>
      <c r="C887" s="4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43"/>
      <c r="C888" s="4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43"/>
      <c r="C889" s="4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43"/>
      <c r="C890" s="4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43"/>
      <c r="C891" s="4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43"/>
      <c r="C892" s="4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43"/>
      <c r="C893" s="4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43"/>
      <c r="C894" s="4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43"/>
      <c r="C895" s="4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43"/>
      <c r="C896" s="4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43"/>
      <c r="C897" s="4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43"/>
      <c r="C898" s="4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43"/>
      <c r="C899" s="4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43"/>
      <c r="C900" s="4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43"/>
      <c r="C901" s="4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43"/>
      <c r="C902" s="4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43"/>
      <c r="C903" s="4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43"/>
      <c r="C904" s="4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43"/>
      <c r="C905" s="4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43"/>
      <c r="C906" s="4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43"/>
      <c r="C907" s="4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43"/>
      <c r="C908" s="4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43"/>
      <c r="C909" s="4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43"/>
      <c r="C910" s="4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43"/>
      <c r="C911" s="4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43"/>
      <c r="C912" s="4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43"/>
      <c r="C913" s="4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43"/>
      <c r="C914" s="4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43"/>
      <c r="C915" s="4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43"/>
      <c r="C916" s="4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43"/>
      <c r="C917" s="4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43"/>
      <c r="C918" s="4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43"/>
      <c r="C919" s="4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43"/>
      <c r="C920" s="4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43"/>
      <c r="C921" s="4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43"/>
      <c r="C922" s="4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43"/>
      <c r="C923" s="4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43"/>
      <c r="C924" s="4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43"/>
      <c r="C925" s="4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43"/>
      <c r="C926" s="4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43"/>
      <c r="C927" s="4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43"/>
      <c r="C928" s="4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43"/>
      <c r="C929" s="4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43"/>
      <c r="C930" s="4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43"/>
      <c r="C931" s="4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43"/>
      <c r="C932" s="4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43"/>
      <c r="C933" s="4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43"/>
      <c r="C934" s="4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43"/>
      <c r="C935" s="4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43"/>
      <c r="C936" s="4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43"/>
      <c r="C937" s="4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43"/>
      <c r="C938" s="4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43"/>
      <c r="C939" s="4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43"/>
      <c r="C940" s="4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43"/>
      <c r="C941" s="4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43"/>
      <c r="C942" s="4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43"/>
      <c r="C943" s="4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43"/>
      <c r="C944" s="4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43"/>
      <c r="C945" s="4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43"/>
      <c r="C946" s="4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43"/>
      <c r="C947" s="4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43"/>
      <c r="C948" s="4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43"/>
      <c r="C949" s="4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43"/>
      <c r="C950" s="4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43"/>
      <c r="C951" s="4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43"/>
      <c r="C952" s="4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43"/>
      <c r="C953" s="4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43"/>
      <c r="C954" s="4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43"/>
      <c r="C955" s="4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43"/>
      <c r="C956" s="4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43"/>
      <c r="C957" s="4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43"/>
      <c r="C958" s="4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43"/>
      <c r="C959" s="4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43"/>
      <c r="C960" s="4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43"/>
      <c r="C961" s="4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43"/>
      <c r="C962" s="4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43"/>
      <c r="C963" s="4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43"/>
      <c r="C964" s="4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43"/>
      <c r="C965" s="4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43"/>
      <c r="C966" s="4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43"/>
      <c r="C967" s="4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43"/>
      <c r="C968" s="4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43"/>
      <c r="C969" s="4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43"/>
      <c r="C970" s="4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43"/>
      <c r="C971" s="4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43"/>
      <c r="C972" s="4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43"/>
      <c r="C973" s="4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43"/>
      <c r="C974" s="4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43"/>
      <c r="C975" s="4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43"/>
      <c r="C976" s="4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43"/>
      <c r="C977" s="4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43"/>
      <c r="C978" s="4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43"/>
      <c r="C979" s="4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43"/>
      <c r="C980" s="4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43"/>
      <c r="C981" s="4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43"/>
      <c r="C982" s="4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43"/>
      <c r="C983" s="4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43"/>
      <c r="C984" s="4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43"/>
      <c r="C985" s="4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43"/>
      <c r="C986" s="4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43"/>
      <c r="C987" s="4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43"/>
      <c r="C988" s="4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43"/>
      <c r="C989" s="4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43"/>
      <c r="C990" s="4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43"/>
      <c r="C991" s="4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43"/>
      <c r="C992" s="4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43"/>
      <c r="C993" s="4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43"/>
      <c r="C994" s="4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"/>
      <c r="B996" s="43"/>
      <c r="C996" s="4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43"/>
      <c r="C997" s="4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43"/>
      <c r="C998" s="4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43"/>
      <c r="C999" s="4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43"/>
      <c r="C1000" s="4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3:A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9.43"/>
    <col customWidth="1" min="2" max="6" width="22.43"/>
    <col customWidth="1" min="7" max="26" width="11.43"/>
  </cols>
  <sheetData>
    <row r="1">
      <c r="A1" s="2" t="s">
        <v>329</v>
      </c>
      <c r="B1" s="2"/>
      <c r="C1" s="62"/>
      <c r="D1" s="62"/>
      <c r="E1" s="62"/>
      <c r="F1" s="2"/>
      <c r="G1" s="2"/>
      <c r="H1" s="2"/>
      <c r="I1" s="2"/>
      <c r="J1" s="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5"/>
      <c r="B2" s="5"/>
      <c r="C2" s="63"/>
      <c r="D2" s="63"/>
      <c r="E2" s="63"/>
      <c r="F2" s="5"/>
      <c r="G2" s="5"/>
      <c r="H2" s="5"/>
      <c r="I2" s="5"/>
      <c r="J2" s="5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5.75" customHeight="1">
      <c r="A3" s="6" t="s">
        <v>330</v>
      </c>
      <c r="B3" s="64" t="s">
        <v>331</v>
      </c>
      <c r="C3" s="65" t="s">
        <v>332</v>
      </c>
      <c r="D3" s="8"/>
      <c r="E3" s="8"/>
      <c r="F3" s="9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10"/>
      <c r="B4" s="12"/>
      <c r="C4" s="67" t="s">
        <v>333</v>
      </c>
      <c r="D4" s="11" t="s">
        <v>334</v>
      </c>
      <c r="E4" s="11" t="s">
        <v>335</v>
      </c>
      <c r="F4" s="11" t="s">
        <v>336</v>
      </c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2.75" customHeight="1">
      <c r="A5" s="56"/>
      <c r="B5" s="57" t="s">
        <v>14</v>
      </c>
      <c r="C5" s="57" t="s">
        <v>15</v>
      </c>
      <c r="D5" s="57" t="s">
        <v>16</v>
      </c>
      <c r="E5" s="57" t="s">
        <v>17</v>
      </c>
      <c r="F5" s="57" t="s">
        <v>18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8"/>
      <c r="B6" s="68"/>
      <c r="C6" s="68"/>
      <c r="D6" s="68"/>
      <c r="E6" s="68"/>
      <c r="F6" s="69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70" t="s">
        <v>20</v>
      </c>
      <c r="B7" s="71">
        <v>1080638.0</v>
      </c>
      <c r="C7" s="71">
        <v>977670.0</v>
      </c>
      <c r="D7" s="71">
        <v>94008.0</v>
      </c>
      <c r="E7" s="71">
        <v>4444.0</v>
      </c>
      <c r="F7" s="72">
        <v>4516.0</v>
      </c>
      <c r="G7" s="18"/>
      <c r="H7" s="73"/>
      <c r="I7" s="18"/>
      <c r="J7" s="18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1"/>
      <c r="B8" s="20"/>
      <c r="C8" s="19"/>
      <c r="D8" s="19"/>
      <c r="E8" s="19"/>
      <c r="F8" s="74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21.0" customHeight="1">
      <c r="A9" s="75" t="s">
        <v>21</v>
      </c>
      <c r="B9" s="76">
        <v>201080.0</v>
      </c>
      <c r="C9" s="76">
        <v>170243.0</v>
      </c>
      <c r="D9" s="76">
        <v>27308.0</v>
      </c>
      <c r="E9" s="76">
        <v>1619.0</v>
      </c>
      <c r="F9" s="77">
        <v>1910.0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21.0" customHeight="1">
      <c r="A10" s="45" t="s">
        <v>337</v>
      </c>
      <c r="B10" s="22">
        <v>31939.0</v>
      </c>
      <c r="C10" s="22">
        <v>28216.0</v>
      </c>
      <c r="D10" s="22">
        <v>3441.0</v>
      </c>
      <c r="E10" s="22">
        <v>127.0</v>
      </c>
      <c r="F10" s="46">
        <v>155.0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0" customHeight="1">
      <c r="A11" s="45" t="s">
        <v>338</v>
      </c>
      <c r="B11" s="22">
        <v>6326.0</v>
      </c>
      <c r="C11" s="22">
        <v>4957.0</v>
      </c>
      <c r="D11" s="22">
        <v>1173.0</v>
      </c>
      <c r="E11" s="22">
        <v>72.0</v>
      </c>
      <c r="F11" s="46">
        <v>124.0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0" customHeight="1">
      <c r="A12" s="45" t="s">
        <v>339</v>
      </c>
      <c r="B12" s="22">
        <v>3106.0</v>
      </c>
      <c r="C12" s="22">
        <v>2472.0</v>
      </c>
      <c r="D12" s="22">
        <v>575.0</v>
      </c>
      <c r="E12" s="22">
        <v>26.0</v>
      </c>
      <c r="F12" s="46">
        <v>33.0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1.0" customHeight="1">
      <c r="A13" s="45" t="s">
        <v>340</v>
      </c>
      <c r="B13" s="22">
        <v>7443.0</v>
      </c>
      <c r="C13" s="22">
        <v>6768.0</v>
      </c>
      <c r="D13" s="22">
        <v>632.0</v>
      </c>
      <c r="E13" s="22">
        <v>27.0</v>
      </c>
      <c r="F13" s="46">
        <v>16.0</v>
      </c>
      <c r="G13" s="2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0" customHeight="1">
      <c r="A14" s="45" t="s">
        <v>341</v>
      </c>
      <c r="B14" s="22">
        <v>48854.0</v>
      </c>
      <c r="C14" s="22">
        <v>41888.0</v>
      </c>
      <c r="D14" s="22">
        <v>6304.0</v>
      </c>
      <c r="E14" s="22">
        <v>317.0</v>
      </c>
      <c r="F14" s="46">
        <v>345.0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1.0" customHeight="1">
      <c r="A15" s="45" t="s">
        <v>342</v>
      </c>
      <c r="B15" s="22">
        <v>15956.0</v>
      </c>
      <c r="C15" s="22">
        <v>11030.0</v>
      </c>
      <c r="D15" s="22">
        <v>4235.0</v>
      </c>
      <c r="E15" s="22">
        <v>310.0</v>
      </c>
      <c r="F15" s="46">
        <v>381.0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1.0" customHeight="1">
      <c r="A16" s="45" t="s">
        <v>343</v>
      </c>
      <c r="B16" s="22">
        <v>11814.0</v>
      </c>
      <c r="C16" s="22">
        <v>9057.0</v>
      </c>
      <c r="D16" s="22">
        <v>2309.0</v>
      </c>
      <c r="E16" s="22">
        <v>192.0</v>
      </c>
      <c r="F16" s="46">
        <v>256.0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0" customHeight="1">
      <c r="A17" s="45" t="s">
        <v>344</v>
      </c>
      <c r="B17" s="22">
        <v>632.0</v>
      </c>
      <c r="C17" s="22">
        <v>581.0</v>
      </c>
      <c r="D17" s="22">
        <v>47.0</v>
      </c>
      <c r="E17" s="22">
        <v>3.0</v>
      </c>
      <c r="F17" s="46">
        <v>1.0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0" customHeight="1">
      <c r="A18" s="45" t="s">
        <v>345</v>
      </c>
      <c r="B18" s="22">
        <v>10779.0</v>
      </c>
      <c r="C18" s="22">
        <v>9150.0</v>
      </c>
      <c r="D18" s="22">
        <v>1313.0</v>
      </c>
      <c r="E18" s="22">
        <v>142.0</v>
      </c>
      <c r="F18" s="46">
        <v>174.0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0" customHeight="1">
      <c r="A19" s="45" t="s">
        <v>346</v>
      </c>
      <c r="B19" s="22">
        <v>15379.0</v>
      </c>
      <c r="C19" s="22">
        <v>14160.0</v>
      </c>
      <c r="D19" s="22">
        <v>1130.0</v>
      </c>
      <c r="E19" s="22">
        <v>56.0</v>
      </c>
      <c r="F19" s="46">
        <v>33.0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1.0" customHeight="1">
      <c r="A20" s="45" t="s">
        <v>347</v>
      </c>
      <c r="B20" s="22">
        <v>4334.0</v>
      </c>
      <c r="C20" s="22">
        <v>3861.0</v>
      </c>
      <c r="D20" s="22">
        <v>431.0</v>
      </c>
      <c r="E20" s="22">
        <v>28.0</v>
      </c>
      <c r="F20" s="46">
        <v>14.0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21.0" customHeight="1">
      <c r="A21" s="45" t="s">
        <v>348</v>
      </c>
      <c r="B21" s="22">
        <v>984.0</v>
      </c>
      <c r="C21" s="22">
        <v>861.0</v>
      </c>
      <c r="D21" s="22">
        <v>98.0</v>
      </c>
      <c r="E21" s="22">
        <v>6.0</v>
      </c>
      <c r="F21" s="46">
        <v>19.0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21.0" customHeight="1">
      <c r="A22" s="45" t="s">
        <v>349</v>
      </c>
      <c r="B22" s="22">
        <v>10068.0</v>
      </c>
      <c r="C22" s="22">
        <v>8639.0</v>
      </c>
      <c r="D22" s="22">
        <v>1315.0</v>
      </c>
      <c r="E22" s="22">
        <v>75.0</v>
      </c>
      <c r="F22" s="46">
        <v>39.0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21.0" customHeight="1">
      <c r="A23" s="45" t="s">
        <v>350</v>
      </c>
      <c r="B23" s="22">
        <v>5705.0</v>
      </c>
      <c r="C23" s="22">
        <v>5023.0</v>
      </c>
      <c r="D23" s="22">
        <v>645.0</v>
      </c>
      <c r="E23" s="22">
        <v>21.0</v>
      </c>
      <c r="F23" s="46">
        <v>16.0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21.0" customHeight="1">
      <c r="A24" s="45" t="s">
        <v>351</v>
      </c>
      <c r="B24" s="22">
        <v>8997.0</v>
      </c>
      <c r="C24" s="22">
        <v>7724.0</v>
      </c>
      <c r="D24" s="22">
        <v>1105.0</v>
      </c>
      <c r="E24" s="22">
        <v>70.0</v>
      </c>
      <c r="F24" s="46">
        <v>98.0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21.0" customHeight="1">
      <c r="A25" s="45" t="s">
        <v>352</v>
      </c>
      <c r="B25" s="22">
        <v>10617.0</v>
      </c>
      <c r="C25" s="22">
        <v>8973.0</v>
      </c>
      <c r="D25" s="22">
        <v>1451.0</v>
      </c>
      <c r="E25" s="22">
        <v>92.0</v>
      </c>
      <c r="F25" s="46">
        <v>101.0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45" t="s">
        <v>353</v>
      </c>
      <c r="B26" s="22">
        <v>8147.0</v>
      </c>
      <c r="C26" s="22">
        <v>6883.0</v>
      </c>
      <c r="D26" s="22">
        <v>1104.0</v>
      </c>
      <c r="E26" s="22">
        <v>55.0</v>
      </c>
      <c r="F26" s="46">
        <v>105.0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21"/>
      <c r="B27" s="22"/>
      <c r="C27" s="22"/>
      <c r="D27" s="22"/>
      <c r="E27" s="22"/>
      <c r="F27" s="4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21.0" customHeight="1">
      <c r="A28" s="75" t="s">
        <v>22</v>
      </c>
      <c r="B28" s="76">
        <v>22648.0</v>
      </c>
      <c r="C28" s="76">
        <v>21283.0</v>
      </c>
      <c r="D28" s="76">
        <v>1287.0</v>
      </c>
      <c r="E28" s="76">
        <v>29.0</v>
      </c>
      <c r="F28" s="77">
        <v>49.0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45" t="s">
        <v>354</v>
      </c>
      <c r="B29" s="22">
        <v>1643.0</v>
      </c>
      <c r="C29" s="22">
        <v>1532.0</v>
      </c>
      <c r="D29" s="22">
        <v>109.0</v>
      </c>
      <c r="E29" s="22">
        <v>1.0</v>
      </c>
      <c r="F29" s="46">
        <v>1.0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45" t="s">
        <v>355</v>
      </c>
      <c r="B30" s="22">
        <v>612.0</v>
      </c>
      <c r="C30" s="22">
        <v>583.0</v>
      </c>
      <c r="D30" s="22">
        <v>27.0</v>
      </c>
      <c r="E30" s="78" t="s">
        <v>356</v>
      </c>
      <c r="F30" s="46">
        <v>2.0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45" t="s">
        <v>357</v>
      </c>
      <c r="B31" s="22">
        <v>15995.0</v>
      </c>
      <c r="C31" s="22">
        <v>14988.0</v>
      </c>
      <c r="D31" s="22">
        <v>937.0</v>
      </c>
      <c r="E31" s="22">
        <v>24.0</v>
      </c>
      <c r="F31" s="46">
        <v>46.0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45" t="s">
        <v>358</v>
      </c>
      <c r="B32" s="22">
        <v>1005.0</v>
      </c>
      <c r="C32" s="22">
        <v>950.0</v>
      </c>
      <c r="D32" s="22">
        <v>53.0</v>
      </c>
      <c r="E32" s="22">
        <v>2.0</v>
      </c>
      <c r="F32" s="79" t="s">
        <v>356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45" t="s">
        <v>359</v>
      </c>
      <c r="B33" s="22">
        <v>1665.0</v>
      </c>
      <c r="C33" s="22">
        <v>1537.0</v>
      </c>
      <c r="D33" s="22">
        <v>127.0</v>
      </c>
      <c r="E33" s="22">
        <v>1.0</v>
      </c>
      <c r="F33" s="79" t="s">
        <v>356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45" t="s">
        <v>360</v>
      </c>
      <c r="B34" s="22">
        <v>1728.0</v>
      </c>
      <c r="C34" s="22">
        <v>1693.0</v>
      </c>
      <c r="D34" s="22">
        <v>34.0</v>
      </c>
      <c r="E34" s="22">
        <v>1.0</v>
      </c>
      <c r="F34" s="79" t="s">
        <v>356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A35" s="21"/>
      <c r="B35" s="22"/>
      <c r="C35" s="22"/>
      <c r="D35" s="22"/>
      <c r="E35" s="22"/>
      <c r="F35" s="4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21.0" customHeight="1">
      <c r="A36" s="75" t="s">
        <v>23</v>
      </c>
      <c r="B36" s="76">
        <v>58095.0</v>
      </c>
      <c r="C36" s="76">
        <v>54289.0</v>
      </c>
      <c r="D36" s="76">
        <v>3638.0</v>
      </c>
      <c r="E36" s="76">
        <v>108.0</v>
      </c>
      <c r="F36" s="77">
        <v>60.0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A37" s="45" t="s">
        <v>361</v>
      </c>
      <c r="B37" s="22">
        <v>8470.0</v>
      </c>
      <c r="C37" s="22">
        <v>8038.0</v>
      </c>
      <c r="D37" s="22">
        <v>409.0</v>
      </c>
      <c r="E37" s="22">
        <v>13.0</v>
      </c>
      <c r="F37" s="46">
        <v>10.0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A38" s="45" t="s">
        <v>362</v>
      </c>
      <c r="B38" s="22">
        <v>8749.0</v>
      </c>
      <c r="C38" s="22">
        <v>8183.0</v>
      </c>
      <c r="D38" s="22">
        <v>539.0</v>
      </c>
      <c r="E38" s="22">
        <v>17.0</v>
      </c>
      <c r="F38" s="46">
        <v>10.0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45" t="s">
        <v>363</v>
      </c>
      <c r="B39" s="22">
        <v>9944.0</v>
      </c>
      <c r="C39" s="22">
        <v>9280.0</v>
      </c>
      <c r="D39" s="22">
        <v>633.0</v>
      </c>
      <c r="E39" s="22">
        <v>20.0</v>
      </c>
      <c r="F39" s="46">
        <v>11.0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45" t="s">
        <v>364</v>
      </c>
      <c r="B40" s="22">
        <v>30932.0</v>
      </c>
      <c r="C40" s="22">
        <v>28788.0</v>
      </c>
      <c r="D40" s="22">
        <v>2057.0</v>
      </c>
      <c r="E40" s="22">
        <v>58.0</v>
      </c>
      <c r="F40" s="46">
        <v>29.0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21"/>
      <c r="B41" s="22"/>
      <c r="C41" s="22"/>
      <c r="D41" s="22"/>
      <c r="E41" s="22"/>
      <c r="F41" s="4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21.0" customHeight="1">
      <c r="A42" s="75" t="s">
        <v>24</v>
      </c>
      <c r="B42" s="76">
        <v>33068.0</v>
      </c>
      <c r="C42" s="76">
        <v>30927.0</v>
      </c>
      <c r="D42" s="76">
        <v>2050.0</v>
      </c>
      <c r="E42" s="76">
        <v>56.0</v>
      </c>
      <c r="F42" s="77">
        <v>35.0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45" t="s">
        <v>365</v>
      </c>
      <c r="B43" s="22">
        <v>311.0</v>
      </c>
      <c r="C43" s="22">
        <v>284.0</v>
      </c>
      <c r="D43" s="22">
        <v>26.0</v>
      </c>
      <c r="E43" s="22">
        <v>1.0</v>
      </c>
      <c r="F43" s="46">
        <v>0.0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45" t="s">
        <v>366</v>
      </c>
      <c r="B44" s="22">
        <v>9543.0</v>
      </c>
      <c r="C44" s="22">
        <v>8872.0</v>
      </c>
      <c r="D44" s="22">
        <v>636.0</v>
      </c>
      <c r="E44" s="22">
        <v>19.0</v>
      </c>
      <c r="F44" s="46">
        <v>16.0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45" t="s">
        <v>367</v>
      </c>
      <c r="B45" s="22">
        <v>16058.0</v>
      </c>
      <c r="C45" s="22">
        <v>14991.0</v>
      </c>
      <c r="D45" s="22">
        <v>1023.0</v>
      </c>
      <c r="E45" s="22">
        <v>28.0</v>
      </c>
      <c r="F45" s="46">
        <v>16.0</v>
      </c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45" t="s">
        <v>368</v>
      </c>
      <c r="B46" s="22">
        <v>5086.0</v>
      </c>
      <c r="C46" s="22">
        <v>4797.0</v>
      </c>
      <c r="D46" s="22">
        <v>281.0</v>
      </c>
      <c r="E46" s="22">
        <v>5.0</v>
      </c>
      <c r="F46" s="46">
        <v>3.0</v>
      </c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45" t="s">
        <v>369</v>
      </c>
      <c r="B47" s="22">
        <v>2070.0</v>
      </c>
      <c r="C47" s="22">
        <v>1983.0</v>
      </c>
      <c r="D47" s="22">
        <v>84.0</v>
      </c>
      <c r="E47" s="22">
        <v>3.0</v>
      </c>
      <c r="F47" s="46">
        <v>0.0</v>
      </c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21"/>
      <c r="B48" s="22"/>
      <c r="C48" s="22"/>
      <c r="D48" s="22"/>
      <c r="E48" s="22"/>
      <c r="F48" s="4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21.0" customHeight="1">
      <c r="A49" s="75" t="s">
        <v>25</v>
      </c>
      <c r="B49" s="76">
        <v>137528.0</v>
      </c>
      <c r="C49" s="76">
        <v>126870.0</v>
      </c>
      <c r="D49" s="76">
        <v>9913.0</v>
      </c>
      <c r="E49" s="76">
        <v>413.0</v>
      </c>
      <c r="F49" s="77">
        <v>332.0</v>
      </c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45" t="s">
        <v>370</v>
      </c>
      <c r="B50" s="22">
        <v>1782.0</v>
      </c>
      <c r="C50" s="22">
        <v>1700.0</v>
      </c>
      <c r="D50" s="22">
        <v>79.0</v>
      </c>
      <c r="E50" s="22">
        <v>3.0</v>
      </c>
      <c r="F50" s="46" t="s">
        <v>356</v>
      </c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45" t="s">
        <v>371</v>
      </c>
      <c r="B51" s="22">
        <v>10730.0</v>
      </c>
      <c r="C51" s="22">
        <v>9974.0</v>
      </c>
      <c r="D51" s="22">
        <v>691.0</v>
      </c>
      <c r="E51" s="22">
        <v>31.0</v>
      </c>
      <c r="F51" s="46">
        <v>34.0</v>
      </c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45" t="s">
        <v>372</v>
      </c>
      <c r="B52" s="22">
        <v>46134.0</v>
      </c>
      <c r="C52" s="22">
        <v>42613.0</v>
      </c>
      <c r="D52" s="22">
        <v>3266.0</v>
      </c>
      <c r="E52" s="22">
        <v>149.0</v>
      </c>
      <c r="F52" s="46">
        <v>106.0</v>
      </c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45" t="s">
        <v>373</v>
      </c>
      <c r="B53" s="22">
        <v>23023.0</v>
      </c>
      <c r="C53" s="22">
        <v>21574.0</v>
      </c>
      <c r="D53" s="22">
        <v>1395.0</v>
      </c>
      <c r="E53" s="22">
        <v>40.0</v>
      </c>
      <c r="F53" s="46">
        <v>14.0</v>
      </c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45" t="s">
        <v>374</v>
      </c>
      <c r="B54" s="22">
        <v>32541.0</v>
      </c>
      <c r="C54" s="22">
        <v>29488.0</v>
      </c>
      <c r="D54" s="22">
        <v>2806.0</v>
      </c>
      <c r="E54" s="22">
        <v>117.0</v>
      </c>
      <c r="F54" s="46">
        <v>130.0</v>
      </c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45" t="s">
        <v>375</v>
      </c>
      <c r="B55" s="22">
        <v>13237.0</v>
      </c>
      <c r="C55" s="22">
        <v>12297.0</v>
      </c>
      <c r="D55" s="22">
        <v>876.0</v>
      </c>
      <c r="E55" s="22">
        <v>39.0</v>
      </c>
      <c r="F55" s="46">
        <v>25.0</v>
      </c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45" t="s">
        <v>376</v>
      </c>
      <c r="B56" s="22">
        <v>10081.0</v>
      </c>
      <c r="C56" s="22">
        <v>9224.0</v>
      </c>
      <c r="D56" s="22">
        <v>800.0</v>
      </c>
      <c r="E56" s="22">
        <v>34.0</v>
      </c>
      <c r="F56" s="46">
        <v>23.0</v>
      </c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21"/>
      <c r="B57" s="22"/>
      <c r="C57" s="22"/>
      <c r="D57" s="22"/>
      <c r="E57" s="22"/>
      <c r="F57" s="4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21.0" customHeight="1">
      <c r="A58" s="75" t="s">
        <v>26</v>
      </c>
      <c r="B58" s="76">
        <v>160056.0</v>
      </c>
      <c r="C58" s="76">
        <v>145978.0</v>
      </c>
      <c r="D58" s="76">
        <v>12688.0</v>
      </c>
      <c r="E58" s="76">
        <v>663.0</v>
      </c>
      <c r="F58" s="77">
        <v>727.0</v>
      </c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45" t="s">
        <v>377</v>
      </c>
      <c r="B59" s="22">
        <v>29065.0</v>
      </c>
      <c r="C59" s="22">
        <v>26510.0</v>
      </c>
      <c r="D59" s="22">
        <v>2303.0</v>
      </c>
      <c r="E59" s="22">
        <v>114.0</v>
      </c>
      <c r="F59" s="46">
        <v>138.0</v>
      </c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45" t="s">
        <v>378</v>
      </c>
      <c r="B60" s="22">
        <v>45987.0</v>
      </c>
      <c r="C60" s="22">
        <v>42081.0</v>
      </c>
      <c r="D60" s="22">
        <v>3486.0</v>
      </c>
      <c r="E60" s="22">
        <v>203.0</v>
      </c>
      <c r="F60" s="46">
        <v>217.0</v>
      </c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45" t="s">
        <v>379</v>
      </c>
      <c r="B61" s="22">
        <v>29583.0</v>
      </c>
      <c r="C61" s="22">
        <v>25954.0</v>
      </c>
      <c r="D61" s="22">
        <v>3148.0</v>
      </c>
      <c r="E61" s="22">
        <v>214.0</v>
      </c>
      <c r="F61" s="46">
        <v>267.0</v>
      </c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45" t="s">
        <v>380</v>
      </c>
      <c r="B62" s="22">
        <v>20365.0</v>
      </c>
      <c r="C62" s="22">
        <v>19085.0</v>
      </c>
      <c r="D62" s="22">
        <v>1230.0</v>
      </c>
      <c r="E62" s="22">
        <v>28.0</v>
      </c>
      <c r="F62" s="46">
        <v>22.0</v>
      </c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45" t="s">
        <v>381</v>
      </c>
      <c r="B63" s="22">
        <v>35056.0</v>
      </c>
      <c r="C63" s="22">
        <v>32348.0</v>
      </c>
      <c r="D63" s="22">
        <v>2521.0</v>
      </c>
      <c r="E63" s="22">
        <v>104.0</v>
      </c>
      <c r="F63" s="46">
        <v>83.0</v>
      </c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21"/>
      <c r="B64" s="22"/>
      <c r="C64" s="22"/>
      <c r="D64" s="22"/>
      <c r="E64" s="22"/>
      <c r="F64" s="4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21.0" customHeight="1">
      <c r="A65" s="75" t="s">
        <v>27</v>
      </c>
      <c r="B65" s="76">
        <v>23285.0</v>
      </c>
      <c r="C65" s="76">
        <v>21556.0</v>
      </c>
      <c r="D65" s="76">
        <v>1666.0</v>
      </c>
      <c r="E65" s="76">
        <v>41.0</v>
      </c>
      <c r="F65" s="77">
        <v>22.0</v>
      </c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45" t="s">
        <v>382</v>
      </c>
      <c r="B66" s="22">
        <v>2753.0</v>
      </c>
      <c r="C66" s="22">
        <v>2663.0</v>
      </c>
      <c r="D66" s="22">
        <v>88.0</v>
      </c>
      <c r="E66" s="22">
        <v>1.0</v>
      </c>
      <c r="F66" s="46">
        <v>1.0</v>
      </c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45" t="s">
        <v>383</v>
      </c>
      <c r="B67" s="22">
        <v>3886.0</v>
      </c>
      <c r="C67" s="22">
        <v>3612.0</v>
      </c>
      <c r="D67" s="22">
        <v>267.0</v>
      </c>
      <c r="E67" s="22">
        <v>6.0</v>
      </c>
      <c r="F67" s="46">
        <v>1.0</v>
      </c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45" t="s">
        <v>384</v>
      </c>
      <c r="B68" s="22">
        <v>8772.0</v>
      </c>
      <c r="C68" s="22">
        <v>8225.0</v>
      </c>
      <c r="D68" s="22">
        <v>527.0</v>
      </c>
      <c r="E68" s="22">
        <v>16.0</v>
      </c>
      <c r="F68" s="46">
        <v>4.0</v>
      </c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45" t="s">
        <v>385</v>
      </c>
      <c r="B69" s="22">
        <v>4700.0</v>
      </c>
      <c r="C69" s="22">
        <v>4038.0</v>
      </c>
      <c r="D69" s="22">
        <v>630.0</v>
      </c>
      <c r="E69" s="22">
        <v>16.0</v>
      </c>
      <c r="F69" s="46">
        <v>16.0</v>
      </c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45" t="s">
        <v>386</v>
      </c>
      <c r="B70" s="22">
        <v>3174.0</v>
      </c>
      <c r="C70" s="22">
        <v>3018.0</v>
      </c>
      <c r="D70" s="22">
        <v>154.0</v>
      </c>
      <c r="E70" s="22">
        <v>2.0</v>
      </c>
      <c r="F70" s="46">
        <v>0.0</v>
      </c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21"/>
      <c r="B71" s="22"/>
      <c r="C71" s="22"/>
      <c r="D71" s="22"/>
      <c r="E71" s="22"/>
      <c r="F71" s="4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21.0" customHeight="1">
      <c r="A72" s="75" t="s">
        <v>28</v>
      </c>
      <c r="B72" s="76">
        <v>45223.0</v>
      </c>
      <c r="C72" s="76">
        <v>41793.0</v>
      </c>
      <c r="D72" s="76">
        <v>3236.0</v>
      </c>
      <c r="E72" s="76">
        <v>123.0</v>
      </c>
      <c r="F72" s="77">
        <v>71.0</v>
      </c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45" t="s">
        <v>387</v>
      </c>
      <c r="B73" s="22">
        <v>12222.0</v>
      </c>
      <c r="C73" s="22">
        <v>11192.0</v>
      </c>
      <c r="D73" s="22">
        <v>955.0</v>
      </c>
      <c r="E73" s="22">
        <v>42.0</v>
      </c>
      <c r="F73" s="46">
        <v>33.0</v>
      </c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45" t="s">
        <v>388</v>
      </c>
      <c r="B74" s="22">
        <v>4131.0</v>
      </c>
      <c r="C74" s="22">
        <v>3851.0</v>
      </c>
      <c r="D74" s="22">
        <v>270.0</v>
      </c>
      <c r="E74" s="22">
        <v>9.0</v>
      </c>
      <c r="F74" s="46">
        <v>1.0</v>
      </c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45" t="s">
        <v>389</v>
      </c>
      <c r="B75" s="22">
        <v>16103.0</v>
      </c>
      <c r="C75" s="22">
        <v>14865.0</v>
      </c>
      <c r="D75" s="22">
        <v>1165.0</v>
      </c>
      <c r="E75" s="22">
        <v>49.0</v>
      </c>
      <c r="F75" s="46">
        <v>24.0</v>
      </c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45" t="s">
        <v>390</v>
      </c>
      <c r="B76" s="22">
        <v>2149.0</v>
      </c>
      <c r="C76" s="22">
        <v>1956.0</v>
      </c>
      <c r="D76" s="22">
        <v>186.0</v>
      </c>
      <c r="E76" s="22">
        <v>6.0</v>
      </c>
      <c r="F76" s="46">
        <v>1.0</v>
      </c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45" t="s">
        <v>391</v>
      </c>
      <c r="B77" s="22">
        <v>5453.0</v>
      </c>
      <c r="C77" s="22">
        <v>5152.0</v>
      </c>
      <c r="D77" s="22">
        <v>286.0</v>
      </c>
      <c r="E77" s="22">
        <v>9.0</v>
      </c>
      <c r="F77" s="46">
        <v>6.0</v>
      </c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45" t="s">
        <v>392</v>
      </c>
      <c r="B78" s="22">
        <v>5165.0</v>
      </c>
      <c r="C78" s="22">
        <v>4777.0</v>
      </c>
      <c r="D78" s="22">
        <v>374.0</v>
      </c>
      <c r="E78" s="22">
        <v>8.0</v>
      </c>
      <c r="F78" s="46">
        <v>6.0</v>
      </c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21"/>
      <c r="B79" s="22"/>
      <c r="C79" s="22"/>
      <c r="D79" s="22"/>
      <c r="E79" s="22"/>
      <c r="F79" s="4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21.0" customHeight="1">
      <c r="A80" s="75" t="s">
        <v>29</v>
      </c>
      <c r="B80" s="76">
        <v>73692.0</v>
      </c>
      <c r="C80" s="76">
        <v>67501.0</v>
      </c>
      <c r="D80" s="76">
        <v>5728.0</v>
      </c>
      <c r="E80" s="76">
        <v>258.0</v>
      </c>
      <c r="F80" s="77">
        <v>205.0</v>
      </c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45" t="s">
        <v>393</v>
      </c>
      <c r="B81" s="22">
        <v>6396.0</v>
      </c>
      <c r="C81" s="22">
        <v>5890.0</v>
      </c>
      <c r="D81" s="22">
        <v>479.0</v>
      </c>
      <c r="E81" s="22">
        <v>21.0</v>
      </c>
      <c r="F81" s="46">
        <v>6.0</v>
      </c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45" t="s">
        <v>394</v>
      </c>
      <c r="B82" s="22">
        <v>4307.0</v>
      </c>
      <c r="C82" s="22">
        <v>4037.0</v>
      </c>
      <c r="D82" s="22">
        <v>259.0</v>
      </c>
      <c r="E82" s="22">
        <v>7.0</v>
      </c>
      <c r="F82" s="46">
        <v>4.0</v>
      </c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45" t="s">
        <v>395</v>
      </c>
      <c r="B83" s="22">
        <v>7960.0</v>
      </c>
      <c r="C83" s="22">
        <v>7600.0</v>
      </c>
      <c r="D83" s="22">
        <v>339.0</v>
      </c>
      <c r="E83" s="22">
        <v>10.0</v>
      </c>
      <c r="F83" s="46">
        <v>11.0</v>
      </c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45" t="s">
        <v>396</v>
      </c>
      <c r="B84" s="22">
        <v>1406.0</v>
      </c>
      <c r="C84" s="22">
        <v>1331.0</v>
      </c>
      <c r="D84" s="22">
        <v>73.0</v>
      </c>
      <c r="E84" s="22">
        <v>1.0</v>
      </c>
      <c r="F84" s="46">
        <v>1.0</v>
      </c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45" t="s">
        <v>397</v>
      </c>
      <c r="B85" s="22">
        <v>23213.0</v>
      </c>
      <c r="C85" s="22">
        <v>21140.0</v>
      </c>
      <c r="D85" s="22">
        <v>1923.0</v>
      </c>
      <c r="E85" s="22">
        <v>66.0</v>
      </c>
      <c r="F85" s="46">
        <v>84.0</v>
      </c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45" t="s">
        <v>398</v>
      </c>
      <c r="B86" s="22">
        <v>30410.0</v>
      </c>
      <c r="C86" s="22">
        <v>27503.0</v>
      </c>
      <c r="D86" s="22">
        <v>2655.0</v>
      </c>
      <c r="E86" s="22">
        <v>153.0</v>
      </c>
      <c r="F86" s="46">
        <v>99.0</v>
      </c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21"/>
      <c r="B87" s="22"/>
      <c r="C87" s="22"/>
      <c r="D87" s="22"/>
      <c r="E87" s="22"/>
      <c r="F87" s="4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21.0" customHeight="1">
      <c r="A88" s="75" t="s">
        <v>30</v>
      </c>
      <c r="B88" s="76">
        <v>78419.0</v>
      </c>
      <c r="C88" s="76">
        <v>69652.0</v>
      </c>
      <c r="D88" s="76">
        <v>7857.0</v>
      </c>
      <c r="E88" s="76">
        <v>415.0</v>
      </c>
      <c r="F88" s="77">
        <v>495.0</v>
      </c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45" t="s">
        <v>399</v>
      </c>
      <c r="B89" s="22">
        <v>11408.0</v>
      </c>
      <c r="C89" s="22">
        <v>10399.0</v>
      </c>
      <c r="D89" s="22">
        <v>960.0</v>
      </c>
      <c r="E89" s="22">
        <v>25.0</v>
      </c>
      <c r="F89" s="46">
        <v>24.0</v>
      </c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45" t="s">
        <v>400</v>
      </c>
      <c r="B90" s="22">
        <v>54063.0</v>
      </c>
      <c r="C90" s="22">
        <v>47375.0</v>
      </c>
      <c r="D90" s="22">
        <v>5894.0</v>
      </c>
      <c r="E90" s="22">
        <v>359.0</v>
      </c>
      <c r="F90" s="46">
        <v>435.0</v>
      </c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45" t="s">
        <v>401</v>
      </c>
      <c r="B91" s="22">
        <v>11526.0</v>
      </c>
      <c r="C91" s="22">
        <v>10557.0</v>
      </c>
      <c r="D91" s="22">
        <v>903.0</v>
      </c>
      <c r="E91" s="22">
        <v>30.0</v>
      </c>
      <c r="F91" s="46">
        <v>36.0</v>
      </c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45" t="s">
        <v>402</v>
      </c>
      <c r="B92" s="22">
        <v>1422.0</v>
      </c>
      <c r="C92" s="22">
        <v>1321.0</v>
      </c>
      <c r="D92" s="22">
        <v>100.0</v>
      </c>
      <c r="E92" s="22">
        <v>1.0</v>
      </c>
      <c r="F92" s="46">
        <v>0.0</v>
      </c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21"/>
      <c r="B93" s="22"/>
      <c r="C93" s="22"/>
      <c r="D93" s="22"/>
      <c r="E93" s="22"/>
      <c r="F93" s="4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21.0" customHeight="1">
      <c r="A94" s="75" t="s">
        <v>31</v>
      </c>
      <c r="B94" s="76">
        <v>35316.0</v>
      </c>
      <c r="C94" s="76">
        <v>32729.0</v>
      </c>
      <c r="D94" s="76">
        <v>2486.0</v>
      </c>
      <c r="E94" s="76">
        <v>67.0</v>
      </c>
      <c r="F94" s="77">
        <v>34.0</v>
      </c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45" t="s">
        <v>403</v>
      </c>
      <c r="B95" s="22">
        <v>1651.0</v>
      </c>
      <c r="C95" s="22">
        <v>1562.0</v>
      </c>
      <c r="D95" s="22">
        <v>86.0</v>
      </c>
      <c r="E95" s="22">
        <v>2.0</v>
      </c>
      <c r="F95" s="46">
        <v>1.0</v>
      </c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45" t="s">
        <v>404</v>
      </c>
      <c r="B96" s="22">
        <v>3245.0</v>
      </c>
      <c r="C96" s="22">
        <v>3056.0</v>
      </c>
      <c r="D96" s="22">
        <v>181.0</v>
      </c>
      <c r="E96" s="22">
        <v>5.0</v>
      </c>
      <c r="F96" s="46">
        <v>3.0</v>
      </c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45" t="s">
        <v>405</v>
      </c>
      <c r="B97" s="22">
        <v>16235.0</v>
      </c>
      <c r="C97" s="22">
        <v>14816.0</v>
      </c>
      <c r="D97" s="22">
        <v>1360.0</v>
      </c>
      <c r="E97" s="22">
        <v>35.0</v>
      </c>
      <c r="F97" s="46">
        <v>24.0</v>
      </c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45" t="s">
        <v>406</v>
      </c>
      <c r="B98" s="22">
        <v>5480.0</v>
      </c>
      <c r="C98" s="22">
        <v>5183.0</v>
      </c>
      <c r="D98" s="22">
        <v>288.0</v>
      </c>
      <c r="E98" s="22">
        <v>7.0</v>
      </c>
      <c r="F98" s="46">
        <v>2.0</v>
      </c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45" t="s">
        <v>407</v>
      </c>
      <c r="B99" s="22">
        <v>3339.0</v>
      </c>
      <c r="C99" s="22">
        <v>3016.0</v>
      </c>
      <c r="D99" s="22">
        <v>311.0</v>
      </c>
      <c r="E99" s="22">
        <v>10.0</v>
      </c>
      <c r="F99" s="46">
        <v>2.0</v>
      </c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45" t="s">
        <v>408</v>
      </c>
      <c r="B100" s="22">
        <v>5366.0</v>
      </c>
      <c r="C100" s="22">
        <v>5096.0</v>
      </c>
      <c r="D100" s="22">
        <v>260.0</v>
      </c>
      <c r="E100" s="22">
        <v>8.0</v>
      </c>
      <c r="F100" s="46">
        <v>2.0</v>
      </c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21"/>
      <c r="B101" s="22"/>
      <c r="C101" s="22"/>
      <c r="D101" s="22"/>
      <c r="E101" s="22"/>
      <c r="F101" s="4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21.0" customHeight="1">
      <c r="A102" s="75" t="s">
        <v>32</v>
      </c>
      <c r="B102" s="76">
        <v>33691.0</v>
      </c>
      <c r="C102" s="76">
        <v>31285.0</v>
      </c>
      <c r="D102" s="76">
        <v>2273.0</v>
      </c>
      <c r="E102" s="76">
        <v>75.0</v>
      </c>
      <c r="F102" s="77">
        <v>58.0</v>
      </c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45" t="s">
        <v>409</v>
      </c>
      <c r="B103" s="22">
        <v>8588.0</v>
      </c>
      <c r="C103" s="22">
        <v>7649.0</v>
      </c>
      <c r="D103" s="22">
        <v>859.0</v>
      </c>
      <c r="E103" s="22">
        <v>45.0</v>
      </c>
      <c r="F103" s="46">
        <v>35.0</v>
      </c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45" t="s">
        <v>410</v>
      </c>
      <c r="B104" s="22">
        <v>10440.0</v>
      </c>
      <c r="C104" s="22">
        <v>9877.0</v>
      </c>
      <c r="D104" s="22">
        <v>544.0</v>
      </c>
      <c r="E104" s="22">
        <v>9.0</v>
      </c>
      <c r="F104" s="46">
        <v>10.0</v>
      </c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45" t="s">
        <v>411</v>
      </c>
      <c r="B105" s="22">
        <v>8228.0</v>
      </c>
      <c r="C105" s="22">
        <v>7694.0</v>
      </c>
      <c r="D105" s="22">
        <v>513.0</v>
      </c>
      <c r="E105" s="22">
        <v>13.0</v>
      </c>
      <c r="F105" s="46">
        <v>8.0</v>
      </c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45" t="s">
        <v>412</v>
      </c>
      <c r="B106" s="22">
        <v>6435.0</v>
      </c>
      <c r="C106" s="22">
        <v>6065.0</v>
      </c>
      <c r="D106" s="22">
        <v>357.0</v>
      </c>
      <c r="E106" s="22">
        <v>8.0</v>
      </c>
      <c r="F106" s="46">
        <v>5.0</v>
      </c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21"/>
      <c r="B107" s="22"/>
      <c r="C107" s="22"/>
      <c r="D107" s="22"/>
      <c r="E107" s="22"/>
      <c r="F107" s="4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21.0" customHeight="1">
      <c r="A108" s="75" t="s">
        <v>33</v>
      </c>
      <c r="B108" s="76">
        <v>38910.0</v>
      </c>
      <c r="C108" s="76">
        <v>34895.0</v>
      </c>
      <c r="D108" s="76">
        <v>3727.0</v>
      </c>
      <c r="E108" s="76">
        <v>151.0</v>
      </c>
      <c r="F108" s="77">
        <v>137.0</v>
      </c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45" t="s">
        <v>413</v>
      </c>
      <c r="B109" s="22">
        <v>12177.0</v>
      </c>
      <c r="C109" s="22">
        <v>11246.0</v>
      </c>
      <c r="D109" s="22">
        <v>866.0</v>
      </c>
      <c r="E109" s="22">
        <v>28.0</v>
      </c>
      <c r="F109" s="46">
        <v>37.0</v>
      </c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45" t="s">
        <v>414</v>
      </c>
      <c r="B110" s="22">
        <v>696.0</v>
      </c>
      <c r="C110" s="22">
        <v>641.0</v>
      </c>
      <c r="D110" s="22">
        <v>54.0</v>
      </c>
      <c r="E110" s="22">
        <v>1.0</v>
      </c>
      <c r="F110" s="46">
        <v>0.0</v>
      </c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45" t="s">
        <v>415</v>
      </c>
      <c r="B111" s="22">
        <v>5154.0</v>
      </c>
      <c r="C111" s="22">
        <v>4511.0</v>
      </c>
      <c r="D111" s="22">
        <v>600.0</v>
      </c>
      <c r="E111" s="22">
        <v>30.0</v>
      </c>
      <c r="F111" s="46">
        <v>13.0</v>
      </c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45" t="s">
        <v>416</v>
      </c>
      <c r="B112" s="22">
        <v>5022.0</v>
      </c>
      <c r="C112" s="22">
        <v>4487.0</v>
      </c>
      <c r="D112" s="22">
        <v>514.0</v>
      </c>
      <c r="E112" s="22">
        <v>14.0</v>
      </c>
      <c r="F112" s="46">
        <v>7.0</v>
      </c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45" t="s">
        <v>417</v>
      </c>
      <c r="B113" s="22">
        <v>15861.0</v>
      </c>
      <c r="C113" s="22">
        <v>14010.0</v>
      </c>
      <c r="D113" s="22">
        <v>1693.0</v>
      </c>
      <c r="E113" s="22">
        <v>78.0</v>
      </c>
      <c r="F113" s="46">
        <v>80.0</v>
      </c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21"/>
      <c r="B114" s="22"/>
      <c r="C114" s="22"/>
      <c r="D114" s="22"/>
      <c r="E114" s="22"/>
      <c r="F114" s="4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21.0" customHeight="1">
      <c r="A115" s="75" t="s">
        <v>34</v>
      </c>
      <c r="B115" s="76">
        <v>60716.0</v>
      </c>
      <c r="C115" s="76">
        <v>55186.0</v>
      </c>
      <c r="D115" s="76">
        <v>5082.0</v>
      </c>
      <c r="E115" s="76">
        <v>225.0</v>
      </c>
      <c r="F115" s="77">
        <v>223.0</v>
      </c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45" t="s">
        <v>418</v>
      </c>
      <c r="B116" s="22">
        <v>7631.0</v>
      </c>
      <c r="C116" s="22">
        <v>7291.0</v>
      </c>
      <c r="D116" s="22">
        <v>310.0</v>
      </c>
      <c r="E116" s="22">
        <v>13.0</v>
      </c>
      <c r="F116" s="46">
        <v>17.0</v>
      </c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45" t="s">
        <v>419</v>
      </c>
      <c r="B117" s="22">
        <v>12637.0</v>
      </c>
      <c r="C117" s="22">
        <v>11584.0</v>
      </c>
      <c r="D117" s="22">
        <v>990.0</v>
      </c>
      <c r="E117" s="22">
        <v>36.0</v>
      </c>
      <c r="F117" s="46">
        <v>27.0</v>
      </c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45" t="s">
        <v>420</v>
      </c>
      <c r="B118" s="22">
        <v>35464.0</v>
      </c>
      <c r="C118" s="22">
        <v>31620.0</v>
      </c>
      <c r="D118" s="22">
        <v>3506.0</v>
      </c>
      <c r="E118" s="22">
        <v>167.0</v>
      </c>
      <c r="F118" s="46">
        <v>171.0</v>
      </c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45" t="s">
        <v>421</v>
      </c>
      <c r="B119" s="22">
        <v>1644.0</v>
      </c>
      <c r="C119" s="22">
        <v>1581.0</v>
      </c>
      <c r="D119" s="22">
        <v>59.0</v>
      </c>
      <c r="E119" s="22">
        <v>2.0</v>
      </c>
      <c r="F119" s="46">
        <v>2.0</v>
      </c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45" t="s">
        <v>422</v>
      </c>
      <c r="B120" s="22">
        <v>3340.0</v>
      </c>
      <c r="C120" s="22">
        <v>3110.0</v>
      </c>
      <c r="D120" s="22">
        <v>217.0</v>
      </c>
      <c r="E120" s="22">
        <v>7.0</v>
      </c>
      <c r="F120" s="46">
        <v>6.0</v>
      </c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21"/>
      <c r="B121" s="22"/>
      <c r="C121" s="22"/>
      <c r="D121" s="22"/>
      <c r="E121" s="22"/>
      <c r="F121" s="4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21.0" customHeight="1">
      <c r="A122" s="75" t="s">
        <v>35</v>
      </c>
      <c r="B122" s="76">
        <v>46474.0</v>
      </c>
      <c r="C122" s="76">
        <v>43376.0</v>
      </c>
      <c r="D122" s="76">
        <v>2873.0</v>
      </c>
      <c r="E122" s="76">
        <v>129.0</v>
      </c>
      <c r="F122" s="77">
        <v>96.0</v>
      </c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45" t="s">
        <v>423</v>
      </c>
      <c r="B123" s="22">
        <v>16339.0</v>
      </c>
      <c r="C123" s="22">
        <v>15599.0</v>
      </c>
      <c r="D123" s="22">
        <v>706.0</v>
      </c>
      <c r="E123" s="22">
        <v>19.0</v>
      </c>
      <c r="F123" s="46">
        <v>15.0</v>
      </c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45" t="s">
        <v>424</v>
      </c>
      <c r="B124" s="22">
        <v>14873.0</v>
      </c>
      <c r="C124" s="22">
        <v>13641.0</v>
      </c>
      <c r="D124" s="22">
        <v>1118.0</v>
      </c>
      <c r="E124" s="22">
        <v>67.0</v>
      </c>
      <c r="F124" s="46">
        <v>47.0</v>
      </c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45" t="s">
        <v>425</v>
      </c>
      <c r="B125" s="22">
        <v>9296.0</v>
      </c>
      <c r="C125" s="22">
        <v>8591.0</v>
      </c>
      <c r="D125" s="22">
        <v>643.0</v>
      </c>
      <c r="E125" s="22">
        <v>34.0</v>
      </c>
      <c r="F125" s="46">
        <v>28.0</v>
      </c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45" t="s">
        <v>426</v>
      </c>
      <c r="B126" s="22">
        <v>5966.0</v>
      </c>
      <c r="C126" s="22">
        <v>5545.0</v>
      </c>
      <c r="D126" s="22">
        <v>406.0</v>
      </c>
      <c r="E126" s="22">
        <v>9.0</v>
      </c>
      <c r="F126" s="46">
        <v>6.0</v>
      </c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21"/>
      <c r="B127" s="22"/>
      <c r="C127" s="22"/>
      <c r="D127" s="22"/>
      <c r="E127" s="22"/>
      <c r="F127" s="4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21.0" customHeight="1">
      <c r="A128" s="75" t="s">
        <v>36</v>
      </c>
      <c r="B128" s="76">
        <v>22422.0</v>
      </c>
      <c r="C128" s="76">
        <v>20687.0</v>
      </c>
      <c r="D128" s="76">
        <v>1622.0</v>
      </c>
      <c r="E128" s="76">
        <v>62.0</v>
      </c>
      <c r="F128" s="77">
        <v>51.0</v>
      </c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45" t="s">
        <v>427</v>
      </c>
      <c r="B129" s="22">
        <v>6596.0</v>
      </c>
      <c r="C129" s="22">
        <v>5893.0</v>
      </c>
      <c r="D129" s="22">
        <v>651.0</v>
      </c>
      <c r="E129" s="22">
        <v>28.0</v>
      </c>
      <c r="F129" s="46">
        <v>24.0</v>
      </c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45" t="s">
        <v>428</v>
      </c>
      <c r="B130" s="22">
        <v>5198.0</v>
      </c>
      <c r="C130" s="22">
        <v>4883.0</v>
      </c>
      <c r="D130" s="22">
        <v>297.0</v>
      </c>
      <c r="E130" s="22">
        <v>10.0</v>
      </c>
      <c r="F130" s="46">
        <v>8.0</v>
      </c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45" t="s">
        <v>429</v>
      </c>
      <c r="B131" s="22">
        <v>1316.0</v>
      </c>
      <c r="C131" s="22">
        <v>1270.0</v>
      </c>
      <c r="D131" s="22">
        <v>41.0</v>
      </c>
      <c r="E131" s="22">
        <v>2.0</v>
      </c>
      <c r="F131" s="46">
        <v>3.0</v>
      </c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45" t="s">
        <v>430</v>
      </c>
      <c r="B132" s="22">
        <v>4875.0</v>
      </c>
      <c r="C132" s="22">
        <v>4498.0</v>
      </c>
      <c r="D132" s="22">
        <v>352.0</v>
      </c>
      <c r="E132" s="22">
        <v>14.0</v>
      </c>
      <c r="F132" s="46">
        <v>11.0</v>
      </c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45" t="s">
        <v>431</v>
      </c>
      <c r="B133" s="22">
        <v>4437.0</v>
      </c>
      <c r="C133" s="22">
        <v>4143.0</v>
      </c>
      <c r="D133" s="22">
        <v>281.0</v>
      </c>
      <c r="E133" s="22">
        <v>8.0</v>
      </c>
      <c r="F133" s="46">
        <v>5.0</v>
      </c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21"/>
      <c r="B134" s="22"/>
      <c r="C134" s="22"/>
      <c r="D134" s="22"/>
      <c r="E134" s="22"/>
      <c r="F134" s="4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21.0" customHeight="1">
      <c r="A135" s="75" t="s">
        <v>37</v>
      </c>
      <c r="B135" s="76">
        <v>10015.0</v>
      </c>
      <c r="C135" s="76">
        <v>9420.0</v>
      </c>
      <c r="D135" s="76">
        <v>574.0</v>
      </c>
      <c r="E135" s="76">
        <v>10.0</v>
      </c>
      <c r="F135" s="77">
        <v>11.0</v>
      </c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45" t="s">
        <v>432</v>
      </c>
      <c r="B136" s="22">
        <v>1670.0</v>
      </c>
      <c r="C136" s="22">
        <v>1606.0</v>
      </c>
      <c r="D136" s="22">
        <v>61.0</v>
      </c>
      <c r="E136" s="22">
        <v>3.0</v>
      </c>
      <c r="F136" s="46">
        <v>0.0</v>
      </c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45" t="s">
        <v>433</v>
      </c>
      <c r="B137" s="22">
        <v>3115.0</v>
      </c>
      <c r="C137" s="22">
        <v>2948.0</v>
      </c>
      <c r="D137" s="22">
        <v>163.0</v>
      </c>
      <c r="E137" s="22">
        <v>1.0</v>
      </c>
      <c r="F137" s="46">
        <v>3.0</v>
      </c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45" t="s">
        <v>434</v>
      </c>
      <c r="B138" s="22">
        <v>3370.0</v>
      </c>
      <c r="C138" s="22">
        <v>3101.0</v>
      </c>
      <c r="D138" s="22">
        <v>258.0</v>
      </c>
      <c r="E138" s="22">
        <v>5.0</v>
      </c>
      <c r="F138" s="46">
        <v>6.0</v>
      </c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45" t="s">
        <v>435</v>
      </c>
      <c r="B139" s="22">
        <v>1390.0</v>
      </c>
      <c r="C139" s="22">
        <v>1351.0</v>
      </c>
      <c r="D139" s="22">
        <v>37.0</v>
      </c>
      <c r="E139" s="22">
        <v>1.0</v>
      </c>
      <c r="F139" s="46">
        <v>1.0</v>
      </c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80" t="s">
        <v>436</v>
      </c>
      <c r="B140" s="49">
        <v>470.0</v>
      </c>
      <c r="C140" s="49">
        <v>414.0</v>
      </c>
      <c r="D140" s="49">
        <v>55.0</v>
      </c>
      <c r="E140" s="49">
        <v>0.0</v>
      </c>
      <c r="F140" s="50">
        <v>1.0</v>
      </c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2"/>
      <c r="B141" s="22"/>
      <c r="C141" s="22"/>
      <c r="D141" s="22"/>
      <c r="E141" s="22"/>
      <c r="F141" s="22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2" t="s">
        <v>96</v>
      </c>
      <c r="B142" s="2"/>
      <c r="C142" s="52"/>
      <c r="D142" s="52"/>
      <c r="E142" s="5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53" t="s">
        <v>97</v>
      </c>
      <c r="B143" s="2"/>
      <c r="C143" s="52"/>
      <c r="D143" s="52"/>
      <c r="E143" s="5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2"/>
      <c r="C144" s="22"/>
      <c r="D144" s="22"/>
      <c r="E144" s="22"/>
      <c r="F144" s="22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2"/>
      <c r="B145" s="22"/>
      <c r="C145" s="22"/>
      <c r="D145" s="22"/>
      <c r="E145" s="22"/>
      <c r="F145" s="22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2"/>
      <c r="B146" s="22"/>
      <c r="C146" s="22"/>
      <c r="D146" s="22"/>
      <c r="E146" s="22"/>
      <c r="F146" s="22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2"/>
      <c r="B147" s="22"/>
      <c r="C147" s="22"/>
      <c r="D147" s="22"/>
      <c r="E147" s="22"/>
      <c r="F147" s="22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2"/>
      <c r="B148" s="22"/>
      <c r="C148" s="22"/>
      <c r="D148" s="22"/>
      <c r="E148" s="22"/>
      <c r="F148" s="22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2"/>
      <c r="B149" s="22"/>
      <c r="C149" s="22"/>
      <c r="D149" s="22"/>
      <c r="E149" s="22"/>
      <c r="F149" s="22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2"/>
      <c r="B150" s="22"/>
      <c r="C150" s="22"/>
      <c r="D150" s="22"/>
      <c r="E150" s="22"/>
      <c r="F150" s="22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2"/>
      <c r="B151" s="22"/>
      <c r="C151" s="22"/>
      <c r="D151" s="22"/>
      <c r="E151" s="22"/>
      <c r="F151" s="22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2"/>
      <c r="B152" s="22"/>
      <c r="C152" s="22"/>
      <c r="D152" s="22"/>
      <c r="E152" s="22"/>
      <c r="F152" s="22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2"/>
      <c r="B153" s="22"/>
      <c r="C153" s="22"/>
      <c r="D153" s="22"/>
      <c r="E153" s="22"/>
      <c r="F153" s="22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2"/>
      <c r="B154" s="22"/>
      <c r="C154" s="22"/>
      <c r="D154" s="22"/>
      <c r="E154" s="22"/>
      <c r="F154" s="22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2"/>
      <c r="B155" s="22"/>
      <c r="C155" s="22"/>
      <c r="D155" s="22"/>
      <c r="E155" s="22"/>
      <c r="F155" s="22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2"/>
      <c r="B156" s="22"/>
      <c r="C156" s="22"/>
      <c r="D156" s="22"/>
      <c r="E156" s="22"/>
      <c r="F156" s="22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2"/>
      <c r="B157" s="22"/>
      <c r="C157" s="22"/>
      <c r="D157" s="22"/>
      <c r="E157" s="22"/>
      <c r="F157" s="22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2"/>
      <c r="B158" s="22"/>
      <c r="C158" s="22"/>
      <c r="D158" s="22"/>
      <c r="E158" s="22"/>
      <c r="F158" s="22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2"/>
      <c r="B159" s="22"/>
      <c r="C159" s="22"/>
      <c r="D159" s="22"/>
      <c r="E159" s="22"/>
      <c r="F159" s="22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2"/>
      <c r="B160" s="22"/>
      <c r="C160" s="22"/>
      <c r="D160" s="22"/>
      <c r="E160" s="22"/>
      <c r="F160" s="22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2"/>
      <c r="B161" s="22"/>
      <c r="C161" s="22"/>
      <c r="D161" s="22"/>
      <c r="E161" s="22"/>
      <c r="F161" s="22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2"/>
      <c r="B162" s="22"/>
      <c r="C162" s="22"/>
      <c r="D162" s="22"/>
      <c r="E162" s="22"/>
      <c r="F162" s="22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2"/>
      <c r="B163" s="22"/>
      <c r="C163" s="22"/>
      <c r="D163" s="22"/>
      <c r="E163" s="22"/>
      <c r="F163" s="22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2"/>
      <c r="B164" s="22"/>
      <c r="C164" s="22"/>
      <c r="D164" s="22"/>
      <c r="E164" s="22"/>
      <c r="F164" s="22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2"/>
      <c r="B165" s="22"/>
      <c r="C165" s="22"/>
      <c r="D165" s="22"/>
      <c r="E165" s="22"/>
      <c r="F165" s="22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2"/>
      <c r="B166" s="22"/>
      <c r="C166" s="22"/>
      <c r="D166" s="22"/>
      <c r="E166" s="22"/>
      <c r="F166" s="22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2"/>
      <c r="B167" s="22"/>
      <c r="C167" s="22"/>
      <c r="D167" s="22"/>
      <c r="E167" s="22"/>
      <c r="F167" s="22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2"/>
      <c r="B168" s="22"/>
      <c r="C168" s="22"/>
      <c r="D168" s="22"/>
      <c r="E168" s="22"/>
      <c r="F168" s="22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2"/>
      <c r="B169" s="22"/>
      <c r="C169" s="22"/>
      <c r="D169" s="22"/>
      <c r="E169" s="22"/>
      <c r="F169" s="22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2"/>
      <c r="B170" s="22"/>
      <c r="C170" s="22"/>
      <c r="D170" s="22"/>
      <c r="E170" s="22"/>
      <c r="F170" s="22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2"/>
      <c r="B171" s="22"/>
      <c r="C171" s="22"/>
      <c r="D171" s="22"/>
      <c r="E171" s="22"/>
      <c r="F171" s="22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2"/>
      <c r="B172" s="22"/>
      <c r="C172" s="22"/>
      <c r="D172" s="22"/>
      <c r="E172" s="22"/>
      <c r="F172" s="22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2"/>
      <c r="B173" s="22"/>
      <c r="C173" s="22"/>
      <c r="D173" s="22"/>
      <c r="E173" s="22"/>
      <c r="F173" s="22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2"/>
      <c r="B174" s="22"/>
      <c r="C174" s="22"/>
      <c r="D174" s="22"/>
      <c r="E174" s="22"/>
      <c r="F174" s="22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2"/>
      <c r="B175" s="22"/>
      <c r="C175" s="22"/>
      <c r="D175" s="22"/>
      <c r="E175" s="22"/>
      <c r="F175" s="22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2"/>
      <c r="B176" s="22"/>
      <c r="C176" s="22"/>
      <c r="D176" s="22"/>
      <c r="E176" s="22"/>
      <c r="F176" s="22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2"/>
      <c r="B177" s="22"/>
      <c r="C177" s="22"/>
      <c r="D177" s="22"/>
      <c r="E177" s="22"/>
      <c r="F177" s="22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2"/>
      <c r="B178" s="22"/>
      <c r="C178" s="22"/>
      <c r="D178" s="22"/>
      <c r="E178" s="22"/>
      <c r="F178" s="22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2"/>
      <c r="B179" s="22"/>
      <c r="C179" s="22"/>
      <c r="D179" s="22"/>
      <c r="E179" s="22"/>
      <c r="F179" s="22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2"/>
      <c r="B180" s="22"/>
      <c r="C180" s="22"/>
      <c r="D180" s="22"/>
      <c r="E180" s="22"/>
      <c r="F180" s="22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2"/>
      <c r="B181" s="22"/>
      <c r="C181" s="22"/>
      <c r="D181" s="22"/>
      <c r="E181" s="22"/>
      <c r="F181" s="22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2"/>
      <c r="B182" s="22"/>
      <c r="C182" s="22"/>
      <c r="D182" s="22"/>
      <c r="E182" s="22"/>
      <c r="F182" s="22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2"/>
      <c r="B183" s="22"/>
      <c r="C183" s="22"/>
      <c r="D183" s="22"/>
      <c r="E183" s="22"/>
      <c r="F183" s="22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2"/>
      <c r="B184" s="22"/>
      <c r="C184" s="22"/>
      <c r="D184" s="22"/>
      <c r="E184" s="22"/>
      <c r="F184" s="22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2"/>
      <c r="B185" s="22"/>
      <c r="C185" s="22"/>
      <c r="D185" s="22"/>
      <c r="E185" s="22"/>
      <c r="F185" s="22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2"/>
      <c r="B186" s="22"/>
      <c r="C186" s="22"/>
      <c r="D186" s="22"/>
      <c r="E186" s="22"/>
      <c r="F186" s="22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2"/>
      <c r="B187" s="22"/>
      <c r="C187" s="22"/>
      <c r="D187" s="22"/>
      <c r="E187" s="22"/>
      <c r="F187" s="22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2"/>
      <c r="B188" s="22"/>
      <c r="C188" s="22"/>
      <c r="D188" s="22"/>
      <c r="E188" s="22"/>
      <c r="F188" s="22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2"/>
      <c r="B189" s="22"/>
      <c r="C189" s="22"/>
      <c r="D189" s="22"/>
      <c r="E189" s="22"/>
      <c r="F189" s="22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2"/>
      <c r="B190" s="22"/>
      <c r="C190" s="22"/>
      <c r="D190" s="22"/>
      <c r="E190" s="22"/>
      <c r="F190" s="22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2"/>
      <c r="B191" s="22"/>
      <c r="C191" s="22"/>
      <c r="D191" s="22"/>
      <c r="E191" s="22"/>
      <c r="F191" s="22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2"/>
      <c r="B192" s="22"/>
      <c r="C192" s="22"/>
      <c r="D192" s="22"/>
      <c r="E192" s="22"/>
      <c r="F192" s="22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2"/>
      <c r="B193" s="22"/>
      <c r="C193" s="22"/>
      <c r="D193" s="22"/>
      <c r="E193" s="22"/>
      <c r="F193" s="22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2"/>
      <c r="B194" s="22"/>
      <c r="C194" s="22"/>
      <c r="D194" s="22"/>
      <c r="E194" s="22"/>
      <c r="F194" s="22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2"/>
      <c r="B195" s="22"/>
      <c r="C195" s="22"/>
      <c r="D195" s="22"/>
      <c r="E195" s="22"/>
      <c r="F195" s="22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2"/>
      <c r="B196" s="22"/>
      <c r="C196" s="22"/>
      <c r="D196" s="22"/>
      <c r="E196" s="22"/>
      <c r="F196" s="22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2"/>
      <c r="B197" s="22"/>
      <c r="C197" s="22"/>
      <c r="D197" s="22"/>
      <c r="E197" s="22"/>
      <c r="F197" s="22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2"/>
      <c r="B198" s="22"/>
      <c r="C198" s="22"/>
      <c r="D198" s="22"/>
      <c r="E198" s="22"/>
      <c r="F198" s="22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2"/>
      <c r="B199" s="22"/>
      <c r="C199" s="22"/>
      <c r="D199" s="22"/>
      <c r="E199" s="22"/>
      <c r="F199" s="22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2"/>
      <c r="B200" s="22"/>
      <c r="C200" s="22"/>
      <c r="D200" s="22"/>
      <c r="E200" s="22"/>
      <c r="F200" s="22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2"/>
      <c r="B201" s="22"/>
      <c r="C201" s="22"/>
      <c r="D201" s="22"/>
      <c r="E201" s="22"/>
      <c r="F201" s="22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2"/>
      <c r="B202" s="22"/>
      <c r="C202" s="22"/>
      <c r="D202" s="22"/>
      <c r="E202" s="22"/>
      <c r="F202" s="22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2"/>
      <c r="B203" s="22"/>
      <c r="C203" s="22"/>
      <c r="D203" s="22"/>
      <c r="E203" s="22"/>
      <c r="F203" s="22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2"/>
      <c r="B204" s="22"/>
      <c r="C204" s="22"/>
      <c r="D204" s="22"/>
      <c r="E204" s="22"/>
      <c r="F204" s="22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2"/>
      <c r="B205" s="22"/>
      <c r="C205" s="22"/>
      <c r="D205" s="22"/>
      <c r="E205" s="22"/>
      <c r="F205" s="22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2"/>
      <c r="B206" s="22"/>
      <c r="C206" s="22"/>
      <c r="D206" s="22"/>
      <c r="E206" s="22"/>
      <c r="F206" s="22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2"/>
      <c r="B207" s="22"/>
      <c r="C207" s="22"/>
      <c r="D207" s="22"/>
      <c r="E207" s="22"/>
      <c r="F207" s="22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2"/>
      <c r="B208" s="22"/>
      <c r="C208" s="22"/>
      <c r="D208" s="22"/>
      <c r="E208" s="22"/>
      <c r="F208" s="22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2"/>
      <c r="B209" s="22"/>
      <c r="C209" s="22"/>
      <c r="D209" s="22"/>
      <c r="E209" s="22"/>
      <c r="F209" s="22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2"/>
      <c r="B210" s="22"/>
      <c r="C210" s="22"/>
      <c r="D210" s="22"/>
      <c r="E210" s="22"/>
      <c r="F210" s="22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2"/>
      <c r="B211" s="22"/>
      <c r="C211" s="22"/>
      <c r="D211" s="22"/>
      <c r="E211" s="22"/>
      <c r="F211" s="22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2"/>
      <c r="B212" s="22"/>
      <c r="C212" s="22"/>
      <c r="D212" s="22"/>
      <c r="E212" s="22"/>
      <c r="F212" s="22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2"/>
      <c r="B213" s="22"/>
      <c r="C213" s="22"/>
      <c r="D213" s="22"/>
      <c r="E213" s="22"/>
      <c r="F213" s="22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2"/>
      <c r="B214" s="22"/>
      <c r="C214" s="22"/>
      <c r="D214" s="22"/>
      <c r="E214" s="22"/>
      <c r="F214" s="22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2"/>
      <c r="B215" s="22"/>
      <c r="C215" s="22"/>
      <c r="D215" s="22"/>
      <c r="E215" s="22"/>
      <c r="F215" s="22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2"/>
      <c r="B216" s="22"/>
      <c r="C216" s="22"/>
      <c r="D216" s="22"/>
      <c r="E216" s="22"/>
      <c r="F216" s="22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2"/>
      <c r="B217" s="22"/>
      <c r="C217" s="22"/>
      <c r="D217" s="22"/>
      <c r="E217" s="22"/>
      <c r="F217" s="22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2"/>
      <c r="B218" s="22"/>
      <c r="C218" s="22"/>
      <c r="D218" s="22"/>
      <c r="E218" s="22"/>
      <c r="F218" s="22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2"/>
      <c r="B219" s="22"/>
      <c r="C219" s="22"/>
      <c r="D219" s="22"/>
      <c r="E219" s="22"/>
      <c r="F219" s="22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2"/>
      <c r="B220" s="22"/>
      <c r="C220" s="22"/>
      <c r="D220" s="22"/>
      <c r="E220" s="22"/>
      <c r="F220" s="22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2"/>
      <c r="B221" s="22"/>
      <c r="C221" s="22"/>
      <c r="D221" s="22"/>
      <c r="E221" s="22"/>
      <c r="F221" s="22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2"/>
      <c r="B222" s="22"/>
      <c r="C222" s="22"/>
      <c r="D222" s="22"/>
      <c r="E222" s="22"/>
      <c r="F222" s="22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2"/>
      <c r="B223" s="22"/>
      <c r="C223" s="22"/>
      <c r="D223" s="22"/>
      <c r="E223" s="22"/>
      <c r="F223" s="22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2"/>
      <c r="B224" s="22"/>
      <c r="C224" s="22"/>
      <c r="D224" s="22"/>
      <c r="E224" s="22"/>
      <c r="F224" s="22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2"/>
      <c r="B225" s="22"/>
      <c r="C225" s="22"/>
      <c r="D225" s="22"/>
      <c r="E225" s="22"/>
      <c r="F225" s="22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2"/>
      <c r="B226" s="22"/>
      <c r="C226" s="22"/>
      <c r="D226" s="22"/>
      <c r="E226" s="22"/>
      <c r="F226" s="22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2"/>
      <c r="B227" s="22"/>
      <c r="C227" s="22"/>
      <c r="D227" s="22"/>
      <c r="E227" s="22"/>
      <c r="F227" s="22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2"/>
      <c r="B228" s="22"/>
      <c r="C228" s="22"/>
      <c r="D228" s="22"/>
      <c r="E228" s="22"/>
      <c r="F228" s="22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2"/>
      <c r="B229" s="22"/>
      <c r="C229" s="22"/>
      <c r="D229" s="22"/>
      <c r="E229" s="22"/>
      <c r="F229" s="22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2"/>
      <c r="B230" s="22"/>
      <c r="C230" s="22"/>
      <c r="D230" s="22"/>
      <c r="E230" s="22"/>
      <c r="F230" s="22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2"/>
      <c r="B231" s="22"/>
      <c r="C231" s="22"/>
      <c r="D231" s="22"/>
      <c r="E231" s="22"/>
      <c r="F231" s="22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2"/>
      <c r="B232" s="22"/>
      <c r="C232" s="22"/>
      <c r="D232" s="22"/>
      <c r="E232" s="22"/>
      <c r="F232" s="22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2"/>
      <c r="B233" s="22"/>
      <c r="C233" s="22"/>
      <c r="D233" s="22"/>
      <c r="E233" s="22"/>
      <c r="F233" s="22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2"/>
      <c r="B234" s="22"/>
      <c r="C234" s="22"/>
      <c r="D234" s="22"/>
      <c r="E234" s="22"/>
      <c r="F234" s="22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>
      <c r="A235" s="2"/>
      <c r="B235" s="22"/>
      <c r="C235" s="22"/>
      <c r="D235" s="22"/>
      <c r="E235" s="22"/>
      <c r="F235" s="22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customHeight="1">
      <c r="A236" s="2"/>
      <c r="B236" s="22"/>
      <c r="C236" s="22"/>
      <c r="D236" s="22"/>
      <c r="E236" s="22"/>
      <c r="F236" s="22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customHeight="1">
      <c r="A237" s="2"/>
      <c r="B237" s="22"/>
      <c r="C237" s="22"/>
      <c r="D237" s="22"/>
      <c r="E237" s="22"/>
      <c r="F237" s="22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2"/>
      <c r="B238" s="22"/>
      <c r="C238" s="22"/>
      <c r="D238" s="22"/>
      <c r="E238" s="22"/>
      <c r="F238" s="22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2"/>
      <c r="B239" s="22"/>
      <c r="C239" s="22"/>
      <c r="D239" s="22"/>
      <c r="E239" s="22"/>
      <c r="F239" s="22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customHeight="1">
      <c r="A240" s="2"/>
      <c r="B240" s="22"/>
      <c r="C240" s="22"/>
      <c r="D240" s="22"/>
      <c r="E240" s="22"/>
      <c r="F240" s="22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customHeight="1">
      <c r="A241" s="2"/>
      <c r="B241" s="22"/>
      <c r="C241" s="22"/>
      <c r="D241" s="22"/>
      <c r="E241" s="22"/>
      <c r="F241" s="22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2"/>
      <c r="B242" s="22"/>
      <c r="C242" s="22"/>
      <c r="D242" s="22"/>
      <c r="E242" s="22"/>
      <c r="F242" s="22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2"/>
      <c r="B243" s="22"/>
      <c r="C243" s="22"/>
      <c r="D243" s="22"/>
      <c r="E243" s="22"/>
      <c r="F243" s="22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2"/>
      <c r="B244" s="22"/>
      <c r="C244" s="22"/>
      <c r="D244" s="22"/>
      <c r="E244" s="22"/>
      <c r="F244" s="22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2"/>
      <c r="B245" s="22"/>
      <c r="C245" s="22"/>
      <c r="D245" s="22"/>
      <c r="E245" s="22"/>
      <c r="F245" s="22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2"/>
      <c r="B246" s="22"/>
      <c r="C246" s="22"/>
      <c r="D246" s="22"/>
      <c r="E246" s="22"/>
      <c r="F246" s="22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2"/>
      <c r="B247" s="22"/>
      <c r="C247" s="22"/>
      <c r="D247" s="22"/>
      <c r="E247" s="22"/>
      <c r="F247" s="22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2"/>
      <c r="B248" s="22"/>
      <c r="C248" s="22"/>
      <c r="D248" s="22"/>
      <c r="E248" s="22"/>
      <c r="F248" s="22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2"/>
      <c r="B249" s="22"/>
      <c r="C249" s="22"/>
      <c r="D249" s="22"/>
      <c r="E249" s="22"/>
      <c r="F249" s="22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2"/>
      <c r="B250" s="22"/>
      <c r="C250" s="22"/>
      <c r="D250" s="22"/>
      <c r="E250" s="22"/>
      <c r="F250" s="22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2"/>
      <c r="B251" s="22"/>
      <c r="C251" s="22"/>
      <c r="D251" s="22"/>
      <c r="E251" s="22"/>
      <c r="F251" s="22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2"/>
      <c r="B252" s="22"/>
      <c r="C252" s="22"/>
      <c r="D252" s="22"/>
      <c r="E252" s="22"/>
      <c r="F252" s="22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2"/>
      <c r="B253" s="22"/>
      <c r="C253" s="22"/>
      <c r="D253" s="22"/>
      <c r="E253" s="22"/>
      <c r="F253" s="22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2"/>
      <c r="B254" s="22"/>
      <c r="C254" s="22"/>
      <c r="D254" s="22"/>
      <c r="E254" s="22"/>
      <c r="F254" s="22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2"/>
      <c r="B255" s="22"/>
      <c r="C255" s="22"/>
      <c r="D255" s="22"/>
      <c r="E255" s="22"/>
      <c r="F255" s="22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2"/>
      <c r="B256" s="22"/>
      <c r="C256" s="22"/>
      <c r="D256" s="22"/>
      <c r="E256" s="22"/>
      <c r="F256" s="22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2"/>
      <c r="B257" s="22"/>
      <c r="C257" s="22"/>
      <c r="D257" s="22"/>
      <c r="E257" s="22"/>
      <c r="F257" s="22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2"/>
      <c r="B258" s="22"/>
      <c r="C258" s="22"/>
      <c r="D258" s="22"/>
      <c r="E258" s="22"/>
      <c r="F258" s="22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>
      <c r="A259" s="2"/>
      <c r="B259" s="22"/>
      <c r="C259" s="22"/>
      <c r="D259" s="22"/>
      <c r="E259" s="22"/>
      <c r="F259" s="22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customHeight="1">
      <c r="A260" s="2"/>
      <c r="B260" s="22"/>
      <c r="C260" s="22"/>
      <c r="D260" s="22"/>
      <c r="E260" s="22"/>
      <c r="F260" s="22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customHeight="1">
      <c r="A261" s="2"/>
      <c r="B261" s="22"/>
      <c r="C261" s="22"/>
      <c r="D261" s="22"/>
      <c r="E261" s="22"/>
      <c r="F261" s="22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customHeight="1">
      <c r="A262" s="2"/>
      <c r="B262" s="22"/>
      <c r="C262" s="22"/>
      <c r="D262" s="22"/>
      <c r="E262" s="22"/>
      <c r="F262" s="22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customHeight="1">
      <c r="A263" s="2"/>
      <c r="B263" s="22"/>
      <c r="C263" s="22"/>
      <c r="D263" s="22"/>
      <c r="E263" s="22"/>
      <c r="F263" s="22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customHeight="1">
      <c r="A264" s="2"/>
      <c r="B264" s="22"/>
      <c r="C264" s="22"/>
      <c r="D264" s="22"/>
      <c r="E264" s="22"/>
      <c r="F264" s="22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customHeight="1">
      <c r="A265" s="2"/>
      <c r="B265" s="22"/>
      <c r="C265" s="22"/>
      <c r="D265" s="22"/>
      <c r="E265" s="22"/>
      <c r="F265" s="22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customHeight="1">
      <c r="A266" s="2"/>
      <c r="B266" s="22"/>
      <c r="C266" s="22"/>
      <c r="D266" s="22"/>
      <c r="E266" s="22"/>
      <c r="F266" s="22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customHeight="1">
      <c r="A267" s="2"/>
      <c r="B267" s="22"/>
      <c r="C267" s="22"/>
      <c r="D267" s="22"/>
      <c r="E267" s="22"/>
      <c r="F267" s="22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customHeight="1">
      <c r="A268" s="2"/>
      <c r="B268" s="22"/>
      <c r="C268" s="22"/>
      <c r="D268" s="22"/>
      <c r="E268" s="22"/>
      <c r="F268" s="22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customHeight="1">
      <c r="A269" s="2"/>
      <c r="B269" s="22"/>
      <c r="C269" s="22"/>
      <c r="D269" s="22"/>
      <c r="E269" s="22"/>
      <c r="F269" s="22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customHeight="1">
      <c r="A270" s="2"/>
      <c r="B270" s="22"/>
      <c r="C270" s="22"/>
      <c r="D270" s="22"/>
      <c r="E270" s="22"/>
      <c r="F270" s="22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customHeight="1">
      <c r="A271" s="2"/>
      <c r="B271" s="22"/>
      <c r="C271" s="22"/>
      <c r="D271" s="22"/>
      <c r="E271" s="22"/>
      <c r="F271" s="22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customHeight="1">
      <c r="A272" s="2"/>
      <c r="B272" s="22"/>
      <c r="C272" s="22"/>
      <c r="D272" s="22"/>
      <c r="E272" s="22"/>
      <c r="F272" s="22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>
      <c r="A273" s="2"/>
      <c r="B273" s="22"/>
      <c r="C273" s="22"/>
      <c r="D273" s="22"/>
      <c r="E273" s="22"/>
      <c r="F273" s="22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>
      <c r="A274" s="2"/>
      <c r="B274" s="22"/>
      <c r="C274" s="22"/>
      <c r="D274" s="22"/>
      <c r="E274" s="22"/>
      <c r="F274" s="22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>
      <c r="A275" s="2"/>
      <c r="B275" s="22"/>
      <c r="C275" s="22"/>
      <c r="D275" s="22"/>
      <c r="E275" s="22"/>
      <c r="F275" s="22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>
      <c r="A276" s="2"/>
      <c r="B276" s="22"/>
      <c r="C276" s="22"/>
      <c r="D276" s="22"/>
      <c r="E276" s="22"/>
      <c r="F276" s="22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>
      <c r="A277" s="2"/>
      <c r="B277" s="22"/>
      <c r="C277" s="22"/>
      <c r="D277" s="22"/>
      <c r="E277" s="22"/>
      <c r="F277" s="22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>
      <c r="A278" s="2"/>
      <c r="B278" s="22"/>
      <c r="C278" s="22"/>
      <c r="D278" s="22"/>
      <c r="E278" s="22"/>
      <c r="F278" s="22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>
      <c r="A279" s="2"/>
      <c r="B279" s="22"/>
      <c r="C279" s="22"/>
      <c r="D279" s="22"/>
      <c r="E279" s="22"/>
      <c r="F279" s="22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>
      <c r="A280" s="2"/>
      <c r="B280" s="22"/>
      <c r="C280" s="22"/>
      <c r="D280" s="22"/>
      <c r="E280" s="22"/>
      <c r="F280" s="22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>
      <c r="A281" s="2"/>
      <c r="B281" s="22"/>
      <c r="C281" s="22"/>
      <c r="D281" s="22"/>
      <c r="E281" s="22"/>
      <c r="F281" s="22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>
      <c r="A282" s="2"/>
      <c r="B282" s="22"/>
      <c r="C282" s="22"/>
      <c r="D282" s="22"/>
      <c r="E282" s="22"/>
      <c r="F282" s="22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>
      <c r="A283" s="2"/>
      <c r="B283" s="22"/>
      <c r="C283" s="22"/>
      <c r="D283" s="22"/>
      <c r="E283" s="22"/>
      <c r="F283" s="22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>
      <c r="A284" s="2"/>
      <c r="B284" s="15"/>
      <c r="C284" s="15"/>
      <c r="D284" s="15"/>
      <c r="E284" s="15"/>
      <c r="F284" s="15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>
      <c r="A285" s="2"/>
      <c r="B285" s="15"/>
      <c r="C285" s="15"/>
      <c r="D285" s="15"/>
      <c r="E285" s="15"/>
      <c r="F285" s="15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>
      <c r="A286" s="2"/>
      <c r="B286" s="15"/>
      <c r="C286" s="15"/>
      <c r="D286" s="15"/>
      <c r="E286" s="15"/>
      <c r="F286" s="15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>
      <c r="A287" s="2"/>
      <c r="B287" s="15"/>
      <c r="C287" s="15"/>
      <c r="D287" s="15"/>
      <c r="E287" s="15"/>
      <c r="F287" s="15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>
      <c r="A288" s="2"/>
      <c r="B288" s="15"/>
      <c r="C288" s="15"/>
      <c r="D288" s="15"/>
      <c r="E288" s="15"/>
      <c r="F288" s="15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>
      <c r="A289" s="2"/>
      <c r="B289" s="15"/>
      <c r="C289" s="15"/>
      <c r="D289" s="15"/>
      <c r="E289" s="15"/>
      <c r="F289" s="15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>
      <c r="A290" s="2"/>
      <c r="B290" s="15"/>
      <c r="C290" s="15"/>
      <c r="D290" s="15"/>
      <c r="E290" s="15"/>
      <c r="F290" s="15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>
      <c r="A291" s="2"/>
      <c r="B291" s="15"/>
      <c r="C291" s="15"/>
      <c r="D291" s="15"/>
      <c r="E291" s="15"/>
      <c r="F291" s="15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>
      <c r="A292" s="2"/>
      <c r="B292" s="15"/>
      <c r="C292" s="15"/>
      <c r="D292" s="15"/>
      <c r="E292" s="15"/>
      <c r="F292" s="15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>
      <c r="A293" s="2"/>
      <c r="B293" s="15"/>
      <c r="C293" s="15"/>
      <c r="D293" s="15"/>
      <c r="E293" s="15"/>
      <c r="F293" s="15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>
      <c r="A294" s="2"/>
      <c r="B294" s="15"/>
      <c r="C294" s="15"/>
      <c r="D294" s="15"/>
      <c r="E294" s="15"/>
      <c r="F294" s="15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>
      <c r="A295" s="2"/>
      <c r="B295" s="15"/>
      <c r="C295" s="15"/>
      <c r="D295" s="15"/>
      <c r="E295" s="15"/>
      <c r="F295" s="15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>
      <c r="A296" s="2"/>
      <c r="B296" s="15"/>
      <c r="C296" s="15"/>
      <c r="D296" s="15"/>
      <c r="E296" s="15"/>
      <c r="F296" s="15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>
      <c r="A297" s="2"/>
      <c r="B297" s="15"/>
      <c r="C297" s="15"/>
      <c r="D297" s="15"/>
      <c r="E297" s="15"/>
      <c r="F297" s="15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>
      <c r="A298" s="2"/>
      <c r="B298" s="15"/>
      <c r="C298" s="15"/>
      <c r="D298" s="15"/>
      <c r="E298" s="15"/>
      <c r="F298" s="15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>
      <c r="A299" s="2"/>
      <c r="B299" s="15"/>
      <c r="C299" s="15"/>
      <c r="D299" s="15"/>
      <c r="E299" s="15"/>
      <c r="F299" s="15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>
      <c r="A300" s="2"/>
      <c r="B300" s="15"/>
      <c r="C300" s="15"/>
      <c r="D300" s="15"/>
      <c r="E300" s="15"/>
      <c r="F300" s="15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>
      <c r="A301" s="2"/>
      <c r="B301" s="15"/>
      <c r="C301" s="15"/>
      <c r="D301" s="15"/>
      <c r="E301" s="15"/>
      <c r="F301" s="15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>
      <c r="A302" s="2"/>
      <c r="B302" s="15"/>
      <c r="C302" s="15"/>
      <c r="D302" s="15"/>
      <c r="E302" s="15"/>
      <c r="F302" s="15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2"/>
      <c r="B303" s="15"/>
      <c r="C303" s="15"/>
      <c r="D303" s="15"/>
      <c r="E303" s="15"/>
      <c r="F303" s="15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>
      <c r="A304" s="2"/>
      <c r="B304" s="15"/>
      <c r="C304" s="15"/>
      <c r="D304" s="15"/>
      <c r="E304" s="15"/>
      <c r="F304" s="15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>
      <c r="A305" s="2"/>
      <c r="B305" s="15"/>
      <c r="C305" s="15"/>
      <c r="D305" s="15"/>
      <c r="E305" s="15"/>
      <c r="F305" s="15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>
      <c r="A306" s="2"/>
      <c r="B306" s="15"/>
      <c r="C306" s="15"/>
      <c r="D306" s="15"/>
      <c r="E306" s="15"/>
      <c r="F306" s="15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>
      <c r="A307" s="2"/>
      <c r="B307" s="15"/>
      <c r="C307" s="15"/>
      <c r="D307" s="15"/>
      <c r="E307" s="15"/>
      <c r="F307" s="15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>
      <c r="A308" s="2"/>
      <c r="B308" s="15"/>
      <c r="C308" s="15"/>
      <c r="D308" s="15"/>
      <c r="E308" s="15"/>
      <c r="F308" s="15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>
      <c r="A309" s="2"/>
      <c r="B309" s="15"/>
      <c r="C309" s="15"/>
      <c r="D309" s="15"/>
      <c r="E309" s="15"/>
      <c r="F309" s="15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>
      <c r="A310" s="2"/>
      <c r="B310" s="15"/>
      <c r="C310" s="15"/>
      <c r="D310" s="15"/>
      <c r="E310" s="15"/>
      <c r="F310" s="15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>
      <c r="A311" s="2"/>
      <c r="B311" s="15"/>
      <c r="C311" s="15"/>
      <c r="D311" s="15"/>
      <c r="E311" s="15"/>
      <c r="F311" s="15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>
      <c r="A312" s="2"/>
      <c r="B312" s="15"/>
      <c r="C312" s="15"/>
      <c r="D312" s="15"/>
      <c r="E312" s="15"/>
      <c r="F312" s="15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>
      <c r="A313" s="2"/>
      <c r="B313" s="15"/>
      <c r="C313" s="15"/>
      <c r="D313" s="15"/>
      <c r="E313" s="15"/>
      <c r="F313" s="15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>
      <c r="A314" s="2"/>
      <c r="B314" s="15"/>
      <c r="C314" s="15"/>
      <c r="D314" s="15"/>
      <c r="E314" s="15"/>
      <c r="F314" s="15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>
      <c r="A315" s="2"/>
      <c r="B315" s="15"/>
      <c r="C315" s="15"/>
      <c r="D315" s="15"/>
      <c r="E315" s="15"/>
      <c r="F315" s="15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>
      <c r="A316" s="2"/>
      <c r="B316" s="15"/>
      <c r="C316" s="15"/>
      <c r="D316" s="15"/>
      <c r="E316" s="15"/>
      <c r="F316" s="15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>
      <c r="A317" s="2"/>
      <c r="B317" s="15"/>
      <c r="C317" s="15"/>
      <c r="D317" s="15"/>
      <c r="E317" s="15"/>
      <c r="F317" s="15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>
      <c r="A318" s="2"/>
      <c r="B318" s="15"/>
      <c r="C318" s="15"/>
      <c r="D318" s="15"/>
      <c r="E318" s="15"/>
      <c r="F318" s="15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>
      <c r="A319" s="2"/>
      <c r="B319" s="15"/>
      <c r="C319" s="15"/>
      <c r="D319" s="15"/>
      <c r="E319" s="15"/>
      <c r="F319" s="15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>
      <c r="A320" s="2"/>
      <c r="B320" s="15"/>
      <c r="C320" s="15"/>
      <c r="D320" s="15"/>
      <c r="E320" s="15"/>
      <c r="F320" s="15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>
      <c r="A321" s="2"/>
      <c r="B321" s="15"/>
      <c r="C321" s="15"/>
      <c r="D321" s="15"/>
      <c r="E321" s="15"/>
      <c r="F321" s="15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5.75" customHeight="1">
      <c r="A322" s="2"/>
      <c r="B322" s="15"/>
      <c r="C322" s="15"/>
      <c r="D322" s="15"/>
      <c r="E322" s="15"/>
      <c r="F322" s="15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5.75" customHeight="1">
      <c r="A323" s="2"/>
      <c r="B323" s="15"/>
      <c r="C323" s="15"/>
      <c r="D323" s="15"/>
      <c r="E323" s="15"/>
      <c r="F323" s="15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5.75" customHeight="1">
      <c r="A324" s="2"/>
      <c r="B324" s="15"/>
      <c r="C324" s="15"/>
      <c r="D324" s="15"/>
      <c r="E324" s="15"/>
      <c r="F324" s="15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5.75" customHeight="1">
      <c r="A325" s="2"/>
      <c r="B325" s="15"/>
      <c r="C325" s="15"/>
      <c r="D325" s="15"/>
      <c r="E325" s="15"/>
      <c r="F325" s="15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5.75" customHeight="1">
      <c r="A326" s="2"/>
      <c r="B326" s="15"/>
      <c r="C326" s="15"/>
      <c r="D326" s="15"/>
      <c r="E326" s="15"/>
      <c r="F326" s="15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5.75" customHeight="1">
      <c r="A327" s="2"/>
      <c r="B327" s="15"/>
      <c r="C327" s="15"/>
      <c r="D327" s="15"/>
      <c r="E327" s="15"/>
      <c r="F327" s="15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5.75" customHeight="1">
      <c r="A328" s="2"/>
      <c r="B328" s="15"/>
      <c r="C328" s="15"/>
      <c r="D328" s="15"/>
      <c r="E328" s="15"/>
      <c r="F328" s="15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5.75" customHeight="1">
      <c r="A329" s="2"/>
      <c r="B329" s="15"/>
      <c r="C329" s="15"/>
      <c r="D329" s="15"/>
      <c r="E329" s="15"/>
      <c r="F329" s="15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5.75" customHeight="1">
      <c r="A330" s="2"/>
      <c r="B330" s="15"/>
      <c r="C330" s="15"/>
      <c r="D330" s="15"/>
      <c r="E330" s="15"/>
      <c r="F330" s="15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5.75" customHeight="1">
      <c r="A331" s="2"/>
      <c r="B331" s="15"/>
      <c r="C331" s="15"/>
      <c r="D331" s="15"/>
      <c r="E331" s="15"/>
      <c r="F331" s="15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5.75" customHeight="1">
      <c r="A332" s="2"/>
      <c r="B332" s="15"/>
      <c r="C332" s="15"/>
      <c r="D332" s="15"/>
      <c r="E332" s="15"/>
      <c r="F332" s="15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5.75" customHeight="1">
      <c r="A333" s="2"/>
      <c r="B333" s="15"/>
      <c r="C333" s="15"/>
      <c r="D333" s="15"/>
      <c r="E333" s="15"/>
      <c r="F333" s="15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5.75" customHeight="1">
      <c r="A334" s="2"/>
      <c r="B334" s="15"/>
      <c r="C334" s="15"/>
      <c r="D334" s="15"/>
      <c r="E334" s="15"/>
      <c r="F334" s="15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5.75" customHeight="1">
      <c r="A335" s="2"/>
      <c r="B335" s="15"/>
      <c r="C335" s="15"/>
      <c r="D335" s="15"/>
      <c r="E335" s="15"/>
      <c r="F335" s="15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5.75" customHeight="1">
      <c r="A336" s="2"/>
      <c r="B336" s="15"/>
      <c r="C336" s="15"/>
      <c r="D336" s="15"/>
      <c r="E336" s="15"/>
      <c r="F336" s="15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5.75" customHeight="1">
      <c r="A337" s="2"/>
      <c r="B337" s="15"/>
      <c r="C337" s="15"/>
      <c r="D337" s="15"/>
      <c r="E337" s="15"/>
      <c r="F337" s="15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5.75" customHeight="1">
      <c r="A338" s="2"/>
      <c r="B338" s="15"/>
      <c r="C338" s="15"/>
      <c r="D338" s="15"/>
      <c r="E338" s="15"/>
      <c r="F338" s="15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5.75" customHeight="1">
      <c r="A339" s="2"/>
      <c r="B339" s="15"/>
      <c r="C339" s="15"/>
      <c r="D339" s="15"/>
      <c r="E339" s="15"/>
      <c r="F339" s="15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5.75" customHeight="1">
      <c r="A340" s="2"/>
      <c r="B340" s="15"/>
      <c r="C340" s="15"/>
      <c r="D340" s="15"/>
      <c r="E340" s="15"/>
      <c r="F340" s="15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5.75" customHeight="1">
      <c r="A341" s="2"/>
      <c r="B341" s="15"/>
      <c r="C341" s="15"/>
      <c r="D341" s="15"/>
      <c r="E341" s="15"/>
      <c r="F341" s="15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>
      <c r="A342" s="2"/>
      <c r="B342" s="15"/>
      <c r="C342" s="15"/>
      <c r="D342" s="15"/>
      <c r="E342" s="15"/>
      <c r="F342" s="15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>
      <c r="A343" s="2"/>
      <c r="B343" s="15"/>
      <c r="C343" s="15"/>
      <c r="D343" s="15"/>
      <c r="E343" s="15"/>
      <c r="F343" s="15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>
      <c r="A344" s="2"/>
      <c r="B344" s="15"/>
      <c r="C344" s="15"/>
      <c r="D344" s="15"/>
      <c r="E344" s="15"/>
      <c r="F344" s="15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>
      <c r="A345" s="2"/>
      <c r="B345" s="15"/>
      <c r="C345" s="15"/>
      <c r="D345" s="15"/>
      <c r="E345" s="15"/>
      <c r="F345" s="15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>
      <c r="A346" s="2"/>
      <c r="B346" s="15"/>
      <c r="C346" s="15"/>
      <c r="D346" s="15"/>
      <c r="E346" s="15"/>
      <c r="F346" s="15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>
      <c r="A347" s="2"/>
      <c r="B347" s="15"/>
      <c r="C347" s="15"/>
      <c r="D347" s="15"/>
      <c r="E347" s="15"/>
      <c r="F347" s="15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>
      <c r="A348" s="2"/>
      <c r="B348" s="15"/>
      <c r="C348" s="15"/>
      <c r="D348" s="15"/>
      <c r="E348" s="15"/>
      <c r="F348" s="15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>
      <c r="A349" s="2"/>
      <c r="B349" s="15"/>
      <c r="C349" s="15"/>
      <c r="D349" s="15"/>
      <c r="E349" s="15"/>
      <c r="F349" s="15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>
      <c r="A350" s="2"/>
      <c r="B350" s="15"/>
      <c r="C350" s="15"/>
      <c r="D350" s="15"/>
      <c r="E350" s="15"/>
      <c r="F350" s="15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>
      <c r="A351" s="2"/>
      <c r="B351" s="15"/>
      <c r="C351" s="15"/>
      <c r="D351" s="15"/>
      <c r="E351" s="15"/>
      <c r="F351" s="15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>
      <c r="A352" s="2"/>
      <c r="B352" s="15"/>
      <c r="C352" s="15"/>
      <c r="D352" s="15"/>
      <c r="E352" s="15"/>
      <c r="F352" s="15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>
      <c r="A353" s="2"/>
      <c r="B353" s="15"/>
      <c r="C353" s="15"/>
      <c r="D353" s="15"/>
      <c r="E353" s="15"/>
      <c r="F353" s="15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>
      <c r="A354" s="2"/>
      <c r="B354" s="15"/>
      <c r="C354" s="15"/>
      <c r="D354" s="15"/>
      <c r="E354" s="15"/>
      <c r="F354" s="15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>
      <c r="A355" s="2"/>
      <c r="B355" s="15"/>
      <c r="C355" s="15"/>
      <c r="D355" s="15"/>
      <c r="E355" s="15"/>
      <c r="F355" s="15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>
      <c r="A356" s="2"/>
      <c r="B356" s="15"/>
      <c r="C356" s="15"/>
      <c r="D356" s="15"/>
      <c r="E356" s="15"/>
      <c r="F356" s="15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>
      <c r="A357" s="2"/>
      <c r="B357" s="15"/>
      <c r="C357" s="15"/>
      <c r="D357" s="15"/>
      <c r="E357" s="15"/>
      <c r="F357" s="15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>
      <c r="A358" s="2"/>
      <c r="B358" s="15"/>
      <c r="C358" s="15"/>
      <c r="D358" s="15"/>
      <c r="E358" s="15"/>
      <c r="F358" s="15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>
      <c r="A359" s="2"/>
      <c r="B359" s="15"/>
      <c r="C359" s="15"/>
      <c r="D359" s="15"/>
      <c r="E359" s="15"/>
      <c r="F359" s="15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>
      <c r="A360" s="2"/>
      <c r="B360" s="15"/>
      <c r="C360" s="15"/>
      <c r="D360" s="15"/>
      <c r="E360" s="15"/>
      <c r="F360" s="15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>
      <c r="A361" s="2"/>
      <c r="B361" s="15"/>
      <c r="C361" s="15"/>
      <c r="D361" s="15"/>
      <c r="E361" s="15"/>
      <c r="F361" s="15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>
      <c r="A362" s="2"/>
      <c r="B362" s="15"/>
      <c r="C362" s="15"/>
      <c r="D362" s="15"/>
      <c r="E362" s="15"/>
      <c r="F362" s="15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>
      <c r="A363" s="2"/>
      <c r="B363" s="15"/>
      <c r="C363" s="15"/>
      <c r="D363" s="15"/>
      <c r="E363" s="15"/>
      <c r="F363" s="15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>
      <c r="A364" s="2"/>
      <c r="B364" s="15"/>
      <c r="C364" s="15"/>
      <c r="D364" s="15"/>
      <c r="E364" s="15"/>
      <c r="F364" s="15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>
      <c r="A365" s="2"/>
      <c r="B365" s="15"/>
      <c r="C365" s="15"/>
      <c r="D365" s="15"/>
      <c r="E365" s="15"/>
      <c r="F365" s="15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>
      <c r="A366" s="2"/>
      <c r="B366" s="15"/>
      <c r="C366" s="15"/>
      <c r="D366" s="15"/>
      <c r="E366" s="15"/>
      <c r="F366" s="15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>
      <c r="A367" s="2"/>
      <c r="B367" s="15"/>
      <c r="C367" s="15"/>
      <c r="D367" s="15"/>
      <c r="E367" s="15"/>
      <c r="F367" s="15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>
      <c r="A368" s="2"/>
      <c r="B368" s="15"/>
      <c r="C368" s="15"/>
      <c r="D368" s="15"/>
      <c r="E368" s="15"/>
      <c r="F368" s="15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>
      <c r="A369" s="2"/>
      <c r="B369" s="15"/>
      <c r="C369" s="15"/>
      <c r="D369" s="15"/>
      <c r="E369" s="15"/>
      <c r="F369" s="15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>
      <c r="A370" s="2"/>
      <c r="B370" s="15"/>
      <c r="C370" s="15"/>
      <c r="D370" s="15"/>
      <c r="E370" s="15"/>
      <c r="F370" s="15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>
      <c r="A371" s="2"/>
      <c r="B371" s="15"/>
      <c r="C371" s="15"/>
      <c r="D371" s="15"/>
      <c r="E371" s="15"/>
      <c r="F371" s="15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>
      <c r="A372" s="2"/>
      <c r="B372" s="15"/>
      <c r="C372" s="15"/>
      <c r="D372" s="15"/>
      <c r="E372" s="15"/>
      <c r="F372" s="15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>
      <c r="A373" s="2"/>
      <c r="B373" s="15"/>
      <c r="C373" s="15"/>
      <c r="D373" s="15"/>
      <c r="E373" s="15"/>
      <c r="F373" s="15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>
      <c r="A374" s="2"/>
      <c r="B374" s="15"/>
      <c r="C374" s="15"/>
      <c r="D374" s="15"/>
      <c r="E374" s="15"/>
      <c r="F374" s="15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>
      <c r="A375" s="2"/>
      <c r="B375" s="15"/>
      <c r="C375" s="15"/>
      <c r="D375" s="15"/>
      <c r="E375" s="15"/>
      <c r="F375" s="15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>
      <c r="A376" s="2"/>
      <c r="B376" s="15"/>
      <c r="C376" s="15"/>
      <c r="D376" s="15"/>
      <c r="E376" s="15"/>
      <c r="F376" s="15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>
      <c r="A377" s="2"/>
      <c r="B377" s="15"/>
      <c r="C377" s="15"/>
      <c r="D377" s="15"/>
      <c r="E377" s="15"/>
      <c r="F377" s="15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>
      <c r="A378" s="2"/>
      <c r="B378" s="15"/>
      <c r="C378" s="15"/>
      <c r="D378" s="15"/>
      <c r="E378" s="15"/>
      <c r="F378" s="15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>
      <c r="A379" s="2"/>
      <c r="B379" s="15"/>
      <c r="C379" s="15"/>
      <c r="D379" s="15"/>
      <c r="E379" s="15"/>
      <c r="F379" s="15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>
      <c r="A380" s="2"/>
      <c r="B380" s="15"/>
      <c r="C380" s="15"/>
      <c r="D380" s="15"/>
      <c r="E380" s="15"/>
      <c r="F380" s="15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>
      <c r="A381" s="2"/>
      <c r="B381" s="15"/>
      <c r="C381" s="15"/>
      <c r="D381" s="15"/>
      <c r="E381" s="15"/>
      <c r="F381" s="15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>
      <c r="A382" s="2"/>
      <c r="B382" s="15"/>
      <c r="C382" s="15"/>
      <c r="D382" s="15"/>
      <c r="E382" s="15"/>
      <c r="F382" s="15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>
      <c r="A383" s="2"/>
      <c r="B383" s="15"/>
      <c r="C383" s="15"/>
      <c r="D383" s="15"/>
      <c r="E383" s="15"/>
      <c r="F383" s="15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>
      <c r="A384" s="2"/>
      <c r="B384" s="15"/>
      <c r="C384" s="15"/>
      <c r="D384" s="15"/>
      <c r="E384" s="15"/>
      <c r="F384" s="15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>
      <c r="A385" s="2"/>
      <c r="B385" s="15"/>
      <c r="C385" s="15"/>
      <c r="D385" s="15"/>
      <c r="E385" s="15"/>
      <c r="F385" s="15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>
      <c r="A386" s="2"/>
      <c r="B386" s="15"/>
      <c r="C386" s="15"/>
      <c r="D386" s="15"/>
      <c r="E386" s="15"/>
      <c r="F386" s="15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>
      <c r="A387" s="2"/>
      <c r="B387" s="15"/>
      <c r="C387" s="15"/>
      <c r="D387" s="15"/>
      <c r="E387" s="15"/>
      <c r="F387" s="15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>
      <c r="A388" s="2"/>
      <c r="B388" s="15"/>
      <c r="C388" s="15"/>
      <c r="D388" s="15"/>
      <c r="E388" s="15"/>
      <c r="F388" s="15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>
      <c r="A389" s="2"/>
      <c r="B389" s="15"/>
      <c r="C389" s="15"/>
      <c r="D389" s="15"/>
      <c r="E389" s="15"/>
      <c r="F389" s="15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>
      <c r="A390" s="2"/>
      <c r="B390" s="15"/>
      <c r="C390" s="15"/>
      <c r="D390" s="15"/>
      <c r="E390" s="15"/>
      <c r="F390" s="15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>
      <c r="A391" s="2"/>
      <c r="B391" s="15"/>
      <c r="C391" s="15"/>
      <c r="D391" s="15"/>
      <c r="E391" s="15"/>
      <c r="F391" s="15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>
      <c r="A392" s="2"/>
      <c r="B392" s="15"/>
      <c r="C392" s="15"/>
      <c r="D392" s="15"/>
      <c r="E392" s="15"/>
      <c r="F392" s="15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>
      <c r="A393" s="2"/>
      <c r="B393" s="15"/>
      <c r="C393" s="15"/>
      <c r="D393" s="15"/>
      <c r="E393" s="15"/>
      <c r="F393" s="15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>
      <c r="A394" s="2"/>
      <c r="B394" s="15"/>
      <c r="C394" s="15"/>
      <c r="D394" s="15"/>
      <c r="E394" s="15"/>
      <c r="F394" s="15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>
      <c r="A395" s="2"/>
      <c r="B395" s="15"/>
      <c r="C395" s="15"/>
      <c r="D395" s="15"/>
      <c r="E395" s="15"/>
      <c r="F395" s="15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>
      <c r="A396" s="2"/>
      <c r="B396" s="15"/>
      <c r="C396" s="15"/>
      <c r="D396" s="15"/>
      <c r="E396" s="15"/>
      <c r="F396" s="15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>
      <c r="A397" s="2"/>
      <c r="B397" s="15"/>
      <c r="C397" s="15"/>
      <c r="D397" s="15"/>
      <c r="E397" s="15"/>
      <c r="F397" s="15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>
      <c r="A398" s="2"/>
      <c r="B398" s="15"/>
      <c r="C398" s="15"/>
      <c r="D398" s="15"/>
      <c r="E398" s="15"/>
      <c r="F398" s="15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>
      <c r="A399" s="2"/>
      <c r="B399" s="15"/>
      <c r="C399" s="15"/>
      <c r="D399" s="15"/>
      <c r="E399" s="15"/>
      <c r="F399" s="15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>
      <c r="A400" s="2"/>
      <c r="B400" s="15"/>
      <c r="C400" s="15"/>
      <c r="D400" s="15"/>
      <c r="E400" s="15"/>
      <c r="F400" s="15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>
      <c r="A401" s="2"/>
      <c r="B401" s="15"/>
      <c r="C401" s="15"/>
      <c r="D401" s="15"/>
      <c r="E401" s="15"/>
      <c r="F401" s="15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>
      <c r="A402" s="2"/>
      <c r="B402" s="15"/>
      <c r="C402" s="15"/>
      <c r="D402" s="15"/>
      <c r="E402" s="15"/>
      <c r="F402" s="15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>
      <c r="A403" s="2"/>
      <c r="B403" s="15"/>
      <c r="C403" s="15"/>
      <c r="D403" s="15"/>
      <c r="E403" s="15"/>
      <c r="F403" s="15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>
      <c r="A404" s="2"/>
      <c r="B404" s="15"/>
      <c r="C404" s="15"/>
      <c r="D404" s="15"/>
      <c r="E404" s="15"/>
      <c r="F404" s="15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>
      <c r="A405" s="2"/>
      <c r="B405" s="15"/>
      <c r="C405" s="15"/>
      <c r="D405" s="15"/>
      <c r="E405" s="15"/>
      <c r="F405" s="15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>
      <c r="A406" s="2"/>
      <c r="B406" s="15"/>
      <c r="C406" s="15"/>
      <c r="D406" s="15"/>
      <c r="E406" s="15"/>
      <c r="F406" s="15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>
      <c r="A407" s="2"/>
      <c r="B407" s="15"/>
      <c r="C407" s="15"/>
      <c r="D407" s="15"/>
      <c r="E407" s="15"/>
      <c r="F407" s="15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>
      <c r="A408" s="2"/>
      <c r="B408" s="15"/>
      <c r="C408" s="15"/>
      <c r="D408" s="15"/>
      <c r="E408" s="15"/>
      <c r="F408" s="15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>
      <c r="A409" s="2"/>
      <c r="B409" s="15"/>
      <c r="C409" s="15"/>
      <c r="D409" s="15"/>
      <c r="E409" s="15"/>
      <c r="F409" s="15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>
      <c r="A410" s="2"/>
      <c r="B410" s="15"/>
      <c r="C410" s="15"/>
      <c r="D410" s="15"/>
      <c r="E410" s="15"/>
      <c r="F410" s="15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>
      <c r="A411" s="2"/>
      <c r="B411" s="15"/>
      <c r="C411" s="15"/>
      <c r="D411" s="15"/>
      <c r="E411" s="15"/>
      <c r="F411" s="15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>
      <c r="A412" s="2"/>
      <c r="B412" s="15"/>
      <c r="C412" s="15"/>
      <c r="D412" s="15"/>
      <c r="E412" s="15"/>
      <c r="F412" s="15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>
      <c r="A413" s="2"/>
      <c r="B413" s="15"/>
      <c r="C413" s="15"/>
      <c r="D413" s="15"/>
      <c r="E413" s="15"/>
      <c r="F413" s="15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>
      <c r="A414" s="2"/>
      <c r="B414" s="15"/>
      <c r="C414" s="15"/>
      <c r="D414" s="15"/>
      <c r="E414" s="15"/>
      <c r="F414" s="15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>
      <c r="A415" s="2"/>
      <c r="B415" s="15"/>
      <c r="C415" s="15"/>
      <c r="D415" s="15"/>
      <c r="E415" s="15"/>
      <c r="F415" s="15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>
      <c r="A416" s="2"/>
      <c r="B416" s="15"/>
      <c r="C416" s="15"/>
      <c r="D416" s="15"/>
      <c r="E416" s="15"/>
      <c r="F416" s="15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>
      <c r="A417" s="2"/>
      <c r="B417" s="15"/>
      <c r="C417" s="15"/>
      <c r="D417" s="15"/>
      <c r="E417" s="15"/>
      <c r="F417" s="15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>
      <c r="A418" s="2"/>
      <c r="B418" s="15"/>
      <c r="C418" s="15"/>
      <c r="D418" s="15"/>
      <c r="E418" s="15"/>
      <c r="F418" s="15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>
      <c r="A419" s="2"/>
      <c r="B419" s="15"/>
      <c r="C419" s="15"/>
      <c r="D419" s="15"/>
      <c r="E419" s="15"/>
      <c r="F419" s="15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>
      <c r="A420" s="2"/>
      <c r="B420" s="15"/>
      <c r="C420" s="15"/>
      <c r="D420" s="15"/>
      <c r="E420" s="15"/>
      <c r="F420" s="15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>
      <c r="A421" s="2"/>
      <c r="B421" s="15"/>
      <c r="C421" s="15"/>
      <c r="D421" s="15"/>
      <c r="E421" s="15"/>
      <c r="F421" s="15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>
      <c r="A422" s="2"/>
      <c r="B422" s="15"/>
      <c r="C422" s="15"/>
      <c r="D422" s="15"/>
      <c r="E422" s="15"/>
      <c r="F422" s="15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>
      <c r="A423" s="2"/>
      <c r="B423" s="15"/>
      <c r="C423" s="15"/>
      <c r="D423" s="15"/>
      <c r="E423" s="15"/>
      <c r="F423" s="15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>
      <c r="A424" s="2"/>
      <c r="B424" s="15"/>
      <c r="C424" s="15"/>
      <c r="D424" s="15"/>
      <c r="E424" s="15"/>
      <c r="F424" s="15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>
      <c r="A425" s="2"/>
      <c r="B425" s="15"/>
      <c r="C425" s="15"/>
      <c r="D425" s="15"/>
      <c r="E425" s="15"/>
      <c r="F425" s="15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>
      <c r="A426" s="2"/>
      <c r="B426" s="15"/>
      <c r="C426" s="15"/>
      <c r="D426" s="15"/>
      <c r="E426" s="15"/>
      <c r="F426" s="15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>
      <c r="A427" s="2"/>
      <c r="B427" s="15"/>
      <c r="C427" s="15"/>
      <c r="D427" s="15"/>
      <c r="E427" s="15"/>
      <c r="F427" s="15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>
      <c r="A428" s="2"/>
      <c r="B428" s="15"/>
      <c r="C428" s="15"/>
      <c r="D428" s="15"/>
      <c r="E428" s="15"/>
      <c r="F428" s="15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>
      <c r="A429" s="2"/>
      <c r="B429" s="15"/>
      <c r="C429" s="15"/>
      <c r="D429" s="15"/>
      <c r="E429" s="15"/>
      <c r="F429" s="15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>
      <c r="A430" s="2"/>
      <c r="B430" s="15"/>
      <c r="C430" s="15"/>
      <c r="D430" s="15"/>
      <c r="E430" s="15"/>
      <c r="F430" s="15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>
      <c r="A431" s="2"/>
      <c r="B431" s="15"/>
      <c r="C431" s="15"/>
      <c r="D431" s="15"/>
      <c r="E431" s="15"/>
      <c r="F431" s="15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>
      <c r="A432" s="2"/>
      <c r="B432" s="15"/>
      <c r="C432" s="15"/>
      <c r="D432" s="15"/>
      <c r="E432" s="15"/>
      <c r="F432" s="15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>
      <c r="A433" s="2"/>
      <c r="B433" s="15"/>
      <c r="C433" s="15"/>
      <c r="D433" s="15"/>
      <c r="E433" s="15"/>
      <c r="F433" s="15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>
      <c r="A434" s="2"/>
      <c r="B434" s="15"/>
      <c r="C434" s="15"/>
      <c r="D434" s="15"/>
      <c r="E434" s="15"/>
      <c r="F434" s="15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>
      <c r="A435" s="2"/>
      <c r="B435" s="15"/>
      <c r="C435" s="15"/>
      <c r="D435" s="15"/>
      <c r="E435" s="15"/>
      <c r="F435" s="15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>
      <c r="A436" s="2"/>
      <c r="B436" s="15"/>
      <c r="C436" s="15"/>
      <c r="D436" s="15"/>
      <c r="E436" s="15"/>
      <c r="F436" s="15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>
      <c r="A437" s="2"/>
      <c r="B437" s="15"/>
      <c r="C437" s="15"/>
      <c r="D437" s="15"/>
      <c r="E437" s="15"/>
      <c r="F437" s="15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>
      <c r="A438" s="2"/>
      <c r="B438" s="15"/>
      <c r="C438" s="15"/>
      <c r="D438" s="15"/>
      <c r="E438" s="15"/>
      <c r="F438" s="15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>
      <c r="A439" s="2"/>
      <c r="B439" s="15"/>
      <c r="C439" s="15"/>
      <c r="D439" s="15"/>
      <c r="E439" s="15"/>
      <c r="F439" s="15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>
      <c r="A440" s="2"/>
      <c r="B440" s="15"/>
      <c r="C440" s="15"/>
      <c r="D440" s="15"/>
      <c r="E440" s="15"/>
      <c r="F440" s="15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>
      <c r="A441" s="2"/>
      <c r="B441" s="15"/>
      <c r="C441" s="15"/>
      <c r="D441" s="15"/>
      <c r="E441" s="15"/>
      <c r="F441" s="15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>
      <c r="A442" s="2"/>
      <c r="B442" s="15"/>
      <c r="C442" s="15"/>
      <c r="D442" s="15"/>
      <c r="E442" s="15"/>
      <c r="F442" s="15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>
      <c r="A443" s="2"/>
      <c r="B443" s="15"/>
      <c r="C443" s="15"/>
      <c r="D443" s="15"/>
      <c r="E443" s="15"/>
      <c r="F443" s="15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>
      <c r="A444" s="2"/>
      <c r="B444" s="15"/>
      <c r="C444" s="15"/>
      <c r="D444" s="15"/>
      <c r="E444" s="15"/>
      <c r="F444" s="15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>
      <c r="A445" s="2"/>
      <c r="B445" s="15"/>
      <c r="C445" s="15"/>
      <c r="D445" s="15"/>
      <c r="E445" s="15"/>
      <c r="F445" s="15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>
      <c r="A446" s="2"/>
      <c r="B446" s="15"/>
      <c r="C446" s="15"/>
      <c r="D446" s="15"/>
      <c r="E446" s="15"/>
      <c r="F446" s="15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>
      <c r="A447" s="2"/>
      <c r="B447" s="15"/>
      <c r="C447" s="15"/>
      <c r="D447" s="15"/>
      <c r="E447" s="15"/>
      <c r="F447" s="15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>
      <c r="A448" s="2"/>
      <c r="B448" s="15"/>
      <c r="C448" s="15"/>
      <c r="D448" s="15"/>
      <c r="E448" s="15"/>
      <c r="F448" s="15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>
      <c r="A449" s="2"/>
      <c r="B449" s="15"/>
      <c r="C449" s="15"/>
      <c r="D449" s="15"/>
      <c r="E449" s="15"/>
      <c r="F449" s="15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>
      <c r="A450" s="2"/>
      <c r="B450" s="15"/>
      <c r="C450" s="15"/>
      <c r="D450" s="15"/>
      <c r="E450" s="15"/>
      <c r="F450" s="15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>
      <c r="A451" s="2"/>
      <c r="B451" s="15"/>
      <c r="C451" s="15"/>
      <c r="D451" s="15"/>
      <c r="E451" s="15"/>
      <c r="F451" s="15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>
      <c r="A452" s="2"/>
      <c r="B452" s="15"/>
      <c r="C452" s="15"/>
      <c r="D452" s="15"/>
      <c r="E452" s="15"/>
      <c r="F452" s="15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>
      <c r="A453" s="2"/>
      <c r="B453" s="15"/>
      <c r="C453" s="15"/>
      <c r="D453" s="15"/>
      <c r="E453" s="15"/>
      <c r="F453" s="15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>
      <c r="A454" s="2"/>
      <c r="B454" s="15"/>
      <c r="C454" s="15"/>
      <c r="D454" s="15"/>
      <c r="E454" s="15"/>
      <c r="F454" s="15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>
      <c r="A455" s="2"/>
      <c r="B455" s="15"/>
      <c r="C455" s="15"/>
      <c r="D455" s="15"/>
      <c r="E455" s="15"/>
      <c r="F455" s="15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>
      <c r="A456" s="2"/>
      <c r="B456" s="15"/>
      <c r="C456" s="15"/>
      <c r="D456" s="15"/>
      <c r="E456" s="15"/>
      <c r="F456" s="15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>
      <c r="A457" s="2"/>
      <c r="B457" s="15"/>
      <c r="C457" s="15"/>
      <c r="D457" s="15"/>
      <c r="E457" s="15"/>
      <c r="F457" s="15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>
      <c r="A458" s="2"/>
      <c r="B458" s="15"/>
      <c r="C458" s="15"/>
      <c r="D458" s="15"/>
      <c r="E458" s="15"/>
      <c r="F458" s="15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>
      <c r="A459" s="2"/>
      <c r="B459" s="15"/>
      <c r="C459" s="15"/>
      <c r="D459" s="15"/>
      <c r="E459" s="15"/>
      <c r="F459" s="15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>
      <c r="A460" s="2"/>
      <c r="B460" s="15"/>
      <c r="C460" s="15"/>
      <c r="D460" s="15"/>
      <c r="E460" s="15"/>
      <c r="F460" s="15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>
      <c r="A461" s="2"/>
      <c r="B461" s="15"/>
      <c r="C461" s="15"/>
      <c r="D461" s="15"/>
      <c r="E461" s="15"/>
      <c r="F461" s="15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>
      <c r="A462" s="2"/>
      <c r="B462" s="15"/>
      <c r="C462" s="15"/>
      <c r="D462" s="15"/>
      <c r="E462" s="15"/>
      <c r="F462" s="15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>
      <c r="A463" s="2"/>
      <c r="B463" s="15"/>
      <c r="C463" s="15"/>
      <c r="D463" s="15"/>
      <c r="E463" s="15"/>
      <c r="F463" s="15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>
      <c r="A464" s="2"/>
      <c r="B464" s="15"/>
      <c r="C464" s="15"/>
      <c r="D464" s="15"/>
      <c r="E464" s="15"/>
      <c r="F464" s="15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>
      <c r="A465" s="2"/>
      <c r="B465" s="15"/>
      <c r="C465" s="15"/>
      <c r="D465" s="15"/>
      <c r="E465" s="15"/>
      <c r="F465" s="15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>
      <c r="A466" s="2"/>
      <c r="B466" s="15"/>
      <c r="C466" s="15"/>
      <c r="D466" s="15"/>
      <c r="E466" s="15"/>
      <c r="F466" s="15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>
      <c r="A467" s="2"/>
      <c r="B467" s="15"/>
      <c r="C467" s="15"/>
      <c r="D467" s="15"/>
      <c r="E467" s="15"/>
      <c r="F467" s="15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>
      <c r="A468" s="2"/>
      <c r="B468" s="15"/>
      <c r="C468" s="15"/>
      <c r="D468" s="15"/>
      <c r="E468" s="15"/>
      <c r="F468" s="15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>
      <c r="A469" s="2"/>
      <c r="B469" s="15"/>
      <c r="C469" s="15"/>
      <c r="D469" s="15"/>
      <c r="E469" s="15"/>
      <c r="F469" s="15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>
      <c r="A470" s="2"/>
      <c r="B470" s="15"/>
      <c r="C470" s="15"/>
      <c r="D470" s="15"/>
      <c r="E470" s="15"/>
      <c r="F470" s="15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>
      <c r="A471" s="2"/>
      <c r="B471" s="15"/>
      <c r="C471" s="15"/>
      <c r="D471" s="15"/>
      <c r="E471" s="15"/>
      <c r="F471" s="15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>
      <c r="A472" s="2"/>
      <c r="B472" s="15"/>
      <c r="C472" s="15"/>
      <c r="D472" s="15"/>
      <c r="E472" s="15"/>
      <c r="F472" s="15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>
      <c r="A473" s="2"/>
      <c r="B473" s="15"/>
      <c r="C473" s="15"/>
      <c r="D473" s="15"/>
      <c r="E473" s="15"/>
      <c r="F473" s="15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>
      <c r="A474" s="2"/>
      <c r="B474" s="15"/>
      <c r="C474" s="15"/>
      <c r="D474" s="15"/>
      <c r="E474" s="15"/>
      <c r="F474" s="15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>
      <c r="A475" s="2"/>
      <c r="B475" s="15"/>
      <c r="C475" s="15"/>
      <c r="D475" s="15"/>
      <c r="E475" s="15"/>
      <c r="F475" s="15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>
      <c r="A476" s="2"/>
      <c r="B476" s="15"/>
      <c r="C476" s="15"/>
      <c r="D476" s="15"/>
      <c r="E476" s="15"/>
      <c r="F476" s="15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>
      <c r="A477" s="2"/>
      <c r="B477" s="15"/>
      <c r="C477" s="15"/>
      <c r="D477" s="15"/>
      <c r="E477" s="15"/>
      <c r="F477" s="15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>
      <c r="A478" s="2"/>
      <c r="B478" s="15"/>
      <c r="C478" s="15"/>
      <c r="D478" s="15"/>
      <c r="E478" s="15"/>
      <c r="F478" s="15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>
      <c r="A479" s="2"/>
      <c r="B479" s="15"/>
      <c r="C479" s="15"/>
      <c r="D479" s="15"/>
      <c r="E479" s="15"/>
      <c r="F479" s="15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>
      <c r="A480" s="2"/>
      <c r="B480" s="15"/>
      <c r="C480" s="15"/>
      <c r="D480" s="15"/>
      <c r="E480" s="15"/>
      <c r="F480" s="15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>
      <c r="A481" s="2"/>
      <c r="B481" s="15"/>
      <c r="C481" s="15"/>
      <c r="D481" s="15"/>
      <c r="E481" s="15"/>
      <c r="F481" s="15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>
      <c r="A482" s="2"/>
      <c r="B482" s="15"/>
      <c r="C482" s="15"/>
      <c r="D482" s="15"/>
      <c r="E482" s="15"/>
      <c r="F482" s="15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>
      <c r="A483" s="2"/>
      <c r="B483" s="15"/>
      <c r="C483" s="15"/>
      <c r="D483" s="15"/>
      <c r="E483" s="15"/>
      <c r="F483" s="15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>
      <c r="A484" s="2"/>
      <c r="B484" s="15"/>
      <c r="C484" s="15"/>
      <c r="D484" s="15"/>
      <c r="E484" s="15"/>
      <c r="F484" s="15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>
      <c r="A485" s="2"/>
      <c r="B485" s="15"/>
      <c r="C485" s="15"/>
      <c r="D485" s="15"/>
      <c r="E485" s="15"/>
      <c r="F485" s="15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>
      <c r="A486" s="2"/>
      <c r="B486" s="15"/>
      <c r="C486" s="15"/>
      <c r="D486" s="15"/>
      <c r="E486" s="15"/>
      <c r="F486" s="15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>
      <c r="A487" s="2"/>
      <c r="B487" s="15"/>
      <c r="C487" s="15"/>
      <c r="D487" s="15"/>
      <c r="E487" s="15"/>
      <c r="F487" s="15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>
      <c r="A488" s="2"/>
      <c r="B488" s="15"/>
      <c r="C488" s="15"/>
      <c r="D488" s="15"/>
      <c r="E488" s="15"/>
      <c r="F488" s="15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>
      <c r="A489" s="2"/>
      <c r="B489" s="15"/>
      <c r="C489" s="15"/>
      <c r="D489" s="15"/>
      <c r="E489" s="15"/>
      <c r="F489" s="15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>
      <c r="A490" s="2"/>
      <c r="B490" s="15"/>
      <c r="C490" s="15"/>
      <c r="D490" s="15"/>
      <c r="E490" s="15"/>
      <c r="F490" s="15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>
      <c r="A491" s="2"/>
      <c r="B491" s="15"/>
      <c r="C491" s="15"/>
      <c r="D491" s="15"/>
      <c r="E491" s="15"/>
      <c r="F491" s="15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>
      <c r="A492" s="2"/>
      <c r="B492" s="15"/>
      <c r="C492" s="15"/>
      <c r="D492" s="15"/>
      <c r="E492" s="15"/>
      <c r="F492" s="15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>
      <c r="A493" s="2"/>
      <c r="B493" s="15"/>
      <c r="C493" s="15"/>
      <c r="D493" s="15"/>
      <c r="E493" s="15"/>
      <c r="F493" s="15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>
      <c r="A494" s="2"/>
      <c r="B494" s="15"/>
      <c r="C494" s="15"/>
      <c r="D494" s="15"/>
      <c r="E494" s="15"/>
      <c r="F494" s="15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>
      <c r="A495" s="2"/>
      <c r="B495" s="15"/>
      <c r="C495" s="15"/>
      <c r="D495" s="15"/>
      <c r="E495" s="15"/>
      <c r="F495" s="15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>
      <c r="A496" s="2"/>
      <c r="B496" s="15"/>
      <c r="C496" s="15"/>
      <c r="D496" s="15"/>
      <c r="E496" s="15"/>
      <c r="F496" s="15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>
      <c r="A497" s="2"/>
      <c r="B497" s="15"/>
      <c r="C497" s="15"/>
      <c r="D497" s="15"/>
      <c r="E497" s="15"/>
      <c r="F497" s="15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>
      <c r="A498" s="2"/>
      <c r="B498" s="15"/>
      <c r="C498" s="15"/>
      <c r="D498" s="15"/>
      <c r="E498" s="15"/>
      <c r="F498" s="15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>
      <c r="A499" s="2"/>
      <c r="B499" s="15"/>
      <c r="C499" s="15"/>
      <c r="D499" s="15"/>
      <c r="E499" s="15"/>
      <c r="F499" s="15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>
      <c r="A500" s="2"/>
      <c r="B500" s="15"/>
      <c r="C500" s="15"/>
      <c r="D500" s="15"/>
      <c r="E500" s="15"/>
      <c r="F500" s="15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>
      <c r="A501" s="2"/>
      <c r="B501" s="15"/>
      <c r="C501" s="15"/>
      <c r="D501" s="15"/>
      <c r="E501" s="15"/>
      <c r="F501" s="15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>
      <c r="A502" s="2"/>
      <c r="B502" s="15"/>
      <c r="C502" s="15"/>
      <c r="D502" s="15"/>
      <c r="E502" s="15"/>
      <c r="F502" s="15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>
      <c r="A503" s="2"/>
      <c r="B503" s="15"/>
      <c r="C503" s="15"/>
      <c r="D503" s="15"/>
      <c r="E503" s="15"/>
      <c r="F503" s="15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>
      <c r="A504" s="2"/>
      <c r="B504" s="15"/>
      <c r="C504" s="15"/>
      <c r="D504" s="15"/>
      <c r="E504" s="15"/>
      <c r="F504" s="15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>
      <c r="A505" s="2"/>
      <c r="B505" s="15"/>
      <c r="C505" s="15"/>
      <c r="D505" s="15"/>
      <c r="E505" s="15"/>
      <c r="F505" s="15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>
      <c r="A506" s="2"/>
      <c r="B506" s="15"/>
      <c r="C506" s="15"/>
      <c r="D506" s="15"/>
      <c r="E506" s="15"/>
      <c r="F506" s="15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>
      <c r="A507" s="2"/>
      <c r="B507" s="15"/>
      <c r="C507" s="15"/>
      <c r="D507" s="15"/>
      <c r="E507" s="15"/>
      <c r="F507" s="15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>
      <c r="A508" s="2"/>
      <c r="B508" s="15"/>
      <c r="C508" s="15"/>
      <c r="D508" s="15"/>
      <c r="E508" s="15"/>
      <c r="F508" s="15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>
      <c r="A509" s="2"/>
      <c r="B509" s="15"/>
      <c r="C509" s="15"/>
      <c r="D509" s="15"/>
      <c r="E509" s="15"/>
      <c r="F509" s="15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>
      <c r="A510" s="2"/>
      <c r="B510" s="15"/>
      <c r="C510" s="15"/>
      <c r="D510" s="15"/>
      <c r="E510" s="15"/>
      <c r="F510" s="15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>
      <c r="A511" s="2"/>
      <c r="B511" s="15"/>
      <c r="C511" s="15"/>
      <c r="D511" s="15"/>
      <c r="E511" s="15"/>
      <c r="F511" s="15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>
      <c r="A512" s="2"/>
      <c r="B512" s="15"/>
      <c r="C512" s="15"/>
      <c r="D512" s="15"/>
      <c r="E512" s="15"/>
      <c r="F512" s="15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>
      <c r="A513" s="2"/>
      <c r="B513" s="15"/>
      <c r="C513" s="15"/>
      <c r="D513" s="15"/>
      <c r="E513" s="15"/>
      <c r="F513" s="15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>
      <c r="A514" s="2"/>
      <c r="B514" s="15"/>
      <c r="C514" s="15"/>
      <c r="D514" s="15"/>
      <c r="E514" s="15"/>
      <c r="F514" s="15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>
      <c r="A515" s="2"/>
      <c r="B515" s="15"/>
      <c r="C515" s="15"/>
      <c r="D515" s="15"/>
      <c r="E515" s="15"/>
      <c r="F515" s="15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>
      <c r="A516" s="2"/>
      <c r="B516" s="15"/>
      <c r="C516" s="15"/>
      <c r="D516" s="15"/>
      <c r="E516" s="15"/>
      <c r="F516" s="15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>
      <c r="A517" s="2"/>
      <c r="B517" s="15"/>
      <c r="C517" s="15"/>
      <c r="D517" s="15"/>
      <c r="E517" s="15"/>
      <c r="F517" s="15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>
      <c r="A518" s="2"/>
      <c r="B518" s="15"/>
      <c r="C518" s="15"/>
      <c r="D518" s="15"/>
      <c r="E518" s="15"/>
      <c r="F518" s="15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>
      <c r="A519" s="2"/>
      <c r="B519" s="15"/>
      <c r="C519" s="15"/>
      <c r="D519" s="15"/>
      <c r="E519" s="15"/>
      <c r="F519" s="15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>
      <c r="A520" s="2"/>
      <c r="B520" s="15"/>
      <c r="C520" s="15"/>
      <c r="D520" s="15"/>
      <c r="E520" s="15"/>
      <c r="F520" s="15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>
      <c r="A521" s="2"/>
      <c r="B521" s="15"/>
      <c r="C521" s="15"/>
      <c r="D521" s="15"/>
      <c r="E521" s="15"/>
      <c r="F521" s="15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>
      <c r="A522" s="2"/>
      <c r="B522" s="15"/>
      <c r="C522" s="15"/>
      <c r="D522" s="15"/>
      <c r="E522" s="15"/>
      <c r="F522" s="15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>
      <c r="A523" s="2"/>
      <c r="B523" s="15"/>
      <c r="C523" s="15"/>
      <c r="D523" s="15"/>
      <c r="E523" s="15"/>
      <c r="F523" s="15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>
      <c r="A524" s="2"/>
      <c r="B524" s="15"/>
      <c r="C524" s="15"/>
      <c r="D524" s="15"/>
      <c r="E524" s="15"/>
      <c r="F524" s="15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>
      <c r="A525" s="2"/>
      <c r="B525" s="15"/>
      <c r="C525" s="15"/>
      <c r="D525" s="15"/>
      <c r="E525" s="15"/>
      <c r="F525" s="15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>
      <c r="A526" s="2"/>
      <c r="B526" s="15"/>
      <c r="C526" s="15"/>
      <c r="D526" s="15"/>
      <c r="E526" s="15"/>
      <c r="F526" s="15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>
      <c r="A527" s="2"/>
      <c r="B527" s="15"/>
      <c r="C527" s="15"/>
      <c r="D527" s="15"/>
      <c r="E527" s="15"/>
      <c r="F527" s="15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>
      <c r="A528" s="2"/>
      <c r="B528" s="15"/>
      <c r="C528" s="15"/>
      <c r="D528" s="15"/>
      <c r="E528" s="15"/>
      <c r="F528" s="15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>
      <c r="A529" s="2"/>
      <c r="B529" s="15"/>
      <c r="C529" s="15"/>
      <c r="D529" s="15"/>
      <c r="E529" s="15"/>
      <c r="F529" s="15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>
      <c r="A530" s="2"/>
      <c r="B530" s="15"/>
      <c r="C530" s="15"/>
      <c r="D530" s="15"/>
      <c r="E530" s="15"/>
      <c r="F530" s="15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>
      <c r="A531" s="2"/>
      <c r="B531" s="15"/>
      <c r="C531" s="15"/>
      <c r="D531" s="15"/>
      <c r="E531" s="15"/>
      <c r="F531" s="15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>
      <c r="A532" s="2"/>
      <c r="B532" s="15"/>
      <c r="C532" s="15"/>
      <c r="D532" s="15"/>
      <c r="E532" s="15"/>
      <c r="F532" s="15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>
      <c r="A533" s="2"/>
      <c r="B533" s="15"/>
      <c r="C533" s="15"/>
      <c r="D533" s="15"/>
      <c r="E533" s="15"/>
      <c r="F533" s="15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>
      <c r="A534" s="2"/>
      <c r="B534" s="15"/>
      <c r="C534" s="15"/>
      <c r="D534" s="15"/>
      <c r="E534" s="15"/>
      <c r="F534" s="15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>
      <c r="A535" s="2"/>
      <c r="B535" s="15"/>
      <c r="C535" s="15"/>
      <c r="D535" s="15"/>
      <c r="E535" s="15"/>
      <c r="F535" s="15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>
      <c r="A536" s="2"/>
      <c r="B536" s="15"/>
      <c r="C536" s="15"/>
      <c r="D536" s="15"/>
      <c r="E536" s="15"/>
      <c r="F536" s="15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>
      <c r="A537" s="2"/>
      <c r="B537" s="15"/>
      <c r="C537" s="15"/>
      <c r="D537" s="15"/>
      <c r="E537" s="15"/>
      <c r="F537" s="15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>
      <c r="A538" s="2"/>
      <c r="B538" s="15"/>
      <c r="C538" s="15"/>
      <c r="D538" s="15"/>
      <c r="E538" s="15"/>
      <c r="F538" s="15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>
      <c r="A539" s="2"/>
      <c r="B539" s="15"/>
      <c r="C539" s="15"/>
      <c r="D539" s="15"/>
      <c r="E539" s="15"/>
      <c r="F539" s="15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>
      <c r="A540" s="2"/>
      <c r="B540" s="15"/>
      <c r="C540" s="15"/>
      <c r="D540" s="15"/>
      <c r="E540" s="15"/>
      <c r="F540" s="15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>
      <c r="A541" s="2"/>
      <c r="B541" s="15"/>
      <c r="C541" s="15"/>
      <c r="D541" s="15"/>
      <c r="E541" s="15"/>
      <c r="F541" s="15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>
      <c r="A542" s="2"/>
      <c r="B542" s="15"/>
      <c r="C542" s="15"/>
      <c r="D542" s="15"/>
      <c r="E542" s="15"/>
      <c r="F542" s="15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>
      <c r="A543" s="2"/>
      <c r="B543" s="15"/>
      <c r="C543" s="15"/>
      <c r="D543" s="15"/>
      <c r="E543" s="15"/>
      <c r="F543" s="15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>
      <c r="A544" s="2"/>
      <c r="B544" s="15"/>
      <c r="C544" s="15"/>
      <c r="D544" s="15"/>
      <c r="E544" s="15"/>
      <c r="F544" s="15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>
      <c r="A545" s="2"/>
      <c r="B545" s="15"/>
      <c r="C545" s="15"/>
      <c r="D545" s="15"/>
      <c r="E545" s="15"/>
      <c r="F545" s="15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>
      <c r="A546" s="2"/>
      <c r="B546" s="15"/>
      <c r="C546" s="15"/>
      <c r="D546" s="15"/>
      <c r="E546" s="15"/>
      <c r="F546" s="15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>
      <c r="A547" s="2"/>
      <c r="B547" s="15"/>
      <c r="C547" s="15"/>
      <c r="D547" s="15"/>
      <c r="E547" s="15"/>
      <c r="F547" s="15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>
      <c r="A548" s="2"/>
      <c r="B548" s="15"/>
      <c r="C548" s="15"/>
      <c r="D548" s="15"/>
      <c r="E548" s="15"/>
      <c r="F548" s="15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>
      <c r="A549" s="2"/>
      <c r="B549" s="15"/>
      <c r="C549" s="15"/>
      <c r="D549" s="15"/>
      <c r="E549" s="15"/>
      <c r="F549" s="15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>
      <c r="A550" s="2"/>
      <c r="B550" s="15"/>
      <c r="C550" s="15"/>
      <c r="D550" s="15"/>
      <c r="E550" s="15"/>
      <c r="F550" s="15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>
      <c r="A551" s="2"/>
      <c r="B551" s="15"/>
      <c r="C551" s="15"/>
      <c r="D551" s="15"/>
      <c r="E551" s="15"/>
      <c r="F551" s="15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>
      <c r="A552" s="2"/>
      <c r="B552" s="15"/>
      <c r="C552" s="15"/>
      <c r="D552" s="15"/>
      <c r="E552" s="15"/>
      <c r="F552" s="15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>
      <c r="A553" s="2"/>
      <c r="B553" s="15"/>
      <c r="C553" s="15"/>
      <c r="D553" s="15"/>
      <c r="E553" s="15"/>
      <c r="F553" s="15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>
      <c r="A554" s="2"/>
      <c r="B554" s="15"/>
      <c r="C554" s="15"/>
      <c r="D554" s="15"/>
      <c r="E554" s="15"/>
      <c r="F554" s="15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>
      <c r="A555" s="2"/>
      <c r="B555" s="15"/>
      <c r="C555" s="15"/>
      <c r="D555" s="15"/>
      <c r="E555" s="15"/>
      <c r="F555" s="15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>
      <c r="A556" s="2"/>
      <c r="B556" s="15"/>
      <c r="C556" s="15"/>
      <c r="D556" s="15"/>
      <c r="E556" s="15"/>
      <c r="F556" s="15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>
      <c r="A557" s="2"/>
      <c r="B557" s="15"/>
      <c r="C557" s="15"/>
      <c r="D557" s="15"/>
      <c r="E557" s="15"/>
      <c r="F557" s="15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>
      <c r="A558" s="2"/>
      <c r="B558" s="15"/>
      <c r="C558" s="15"/>
      <c r="D558" s="15"/>
      <c r="E558" s="15"/>
      <c r="F558" s="15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>
      <c r="A559" s="2"/>
      <c r="B559" s="15"/>
      <c r="C559" s="15"/>
      <c r="D559" s="15"/>
      <c r="E559" s="15"/>
      <c r="F559" s="15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>
      <c r="A560" s="2"/>
      <c r="B560" s="15"/>
      <c r="C560" s="15"/>
      <c r="D560" s="15"/>
      <c r="E560" s="15"/>
      <c r="F560" s="15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>
      <c r="A561" s="2"/>
      <c r="B561" s="15"/>
      <c r="C561" s="15"/>
      <c r="D561" s="15"/>
      <c r="E561" s="15"/>
      <c r="F561" s="15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>
      <c r="A562" s="2"/>
      <c r="B562" s="15"/>
      <c r="C562" s="15"/>
      <c r="D562" s="15"/>
      <c r="E562" s="15"/>
      <c r="F562" s="15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>
      <c r="A563" s="2"/>
      <c r="B563" s="15"/>
      <c r="C563" s="15"/>
      <c r="D563" s="15"/>
      <c r="E563" s="15"/>
      <c r="F563" s="15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>
      <c r="A564" s="2"/>
      <c r="B564" s="15"/>
      <c r="C564" s="15"/>
      <c r="D564" s="15"/>
      <c r="E564" s="15"/>
      <c r="F564" s="15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>
      <c r="A565" s="2"/>
      <c r="B565" s="15"/>
      <c r="C565" s="15"/>
      <c r="D565" s="15"/>
      <c r="E565" s="15"/>
      <c r="F565" s="15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>
      <c r="A566" s="2"/>
      <c r="B566" s="15"/>
      <c r="C566" s="15"/>
      <c r="D566" s="15"/>
      <c r="E566" s="15"/>
      <c r="F566" s="15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>
      <c r="A567" s="2"/>
      <c r="B567" s="15"/>
      <c r="C567" s="15"/>
      <c r="D567" s="15"/>
      <c r="E567" s="15"/>
      <c r="F567" s="15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>
      <c r="A568" s="2"/>
      <c r="B568" s="15"/>
      <c r="C568" s="15"/>
      <c r="D568" s="15"/>
      <c r="E568" s="15"/>
      <c r="F568" s="15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>
      <c r="A569" s="2"/>
      <c r="B569" s="15"/>
      <c r="C569" s="15"/>
      <c r="D569" s="15"/>
      <c r="E569" s="15"/>
      <c r="F569" s="15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>
      <c r="A570" s="2"/>
      <c r="B570" s="15"/>
      <c r="C570" s="15"/>
      <c r="D570" s="15"/>
      <c r="E570" s="15"/>
      <c r="F570" s="15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>
      <c r="A571" s="2"/>
      <c r="B571" s="15"/>
      <c r="C571" s="15"/>
      <c r="D571" s="15"/>
      <c r="E571" s="15"/>
      <c r="F571" s="15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>
      <c r="A572" s="2"/>
      <c r="B572" s="15"/>
      <c r="C572" s="15"/>
      <c r="D572" s="15"/>
      <c r="E572" s="15"/>
      <c r="F572" s="15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>
      <c r="A573" s="2"/>
      <c r="B573" s="15"/>
      <c r="C573" s="15"/>
      <c r="D573" s="15"/>
      <c r="E573" s="15"/>
      <c r="F573" s="15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>
      <c r="A574" s="2"/>
      <c r="B574" s="15"/>
      <c r="C574" s="15"/>
      <c r="D574" s="15"/>
      <c r="E574" s="15"/>
      <c r="F574" s="15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>
      <c r="A575" s="2"/>
      <c r="B575" s="15"/>
      <c r="C575" s="15"/>
      <c r="D575" s="15"/>
      <c r="E575" s="15"/>
      <c r="F575" s="15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>
      <c r="A576" s="2"/>
      <c r="B576" s="15"/>
      <c r="C576" s="15"/>
      <c r="D576" s="15"/>
      <c r="E576" s="15"/>
      <c r="F576" s="15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>
      <c r="A577" s="2"/>
      <c r="B577" s="15"/>
      <c r="C577" s="15"/>
      <c r="D577" s="15"/>
      <c r="E577" s="15"/>
      <c r="F577" s="15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>
      <c r="A578" s="2"/>
      <c r="B578" s="15"/>
      <c r="C578" s="15"/>
      <c r="D578" s="15"/>
      <c r="E578" s="15"/>
      <c r="F578" s="15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>
      <c r="A579" s="2"/>
      <c r="B579" s="15"/>
      <c r="C579" s="15"/>
      <c r="D579" s="15"/>
      <c r="E579" s="15"/>
      <c r="F579" s="15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>
      <c r="A580" s="2"/>
      <c r="B580" s="15"/>
      <c r="C580" s="15"/>
      <c r="D580" s="15"/>
      <c r="E580" s="15"/>
      <c r="F580" s="15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>
      <c r="A581" s="2"/>
      <c r="B581" s="15"/>
      <c r="C581" s="15"/>
      <c r="D581" s="15"/>
      <c r="E581" s="15"/>
      <c r="F581" s="15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>
      <c r="A582" s="2"/>
      <c r="B582" s="15"/>
      <c r="C582" s="15"/>
      <c r="D582" s="15"/>
      <c r="E582" s="15"/>
      <c r="F582" s="15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>
      <c r="A583" s="2"/>
      <c r="B583" s="15"/>
      <c r="C583" s="15"/>
      <c r="D583" s="15"/>
      <c r="E583" s="15"/>
      <c r="F583" s="15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>
      <c r="A584" s="2"/>
      <c r="B584" s="15"/>
      <c r="C584" s="15"/>
      <c r="D584" s="15"/>
      <c r="E584" s="15"/>
      <c r="F584" s="15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>
      <c r="A585" s="2"/>
      <c r="B585" s="15"/>
      <c r="C585" s="15"/>
      <c r="D585" s="15"/>
      <c r="E585" s="15"/>
      <c r="F585" s="15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>
      <c r="A586" s="2"/>
      <c r="B586" s="15"/>
      <c r="C586" s="15"/>
      <c r="D586" s="15"/>
      <c r="E586" s="15"/>
      <c r="F586" s="15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>
      <c r="A587" s="2"/>
      <c r="B587" s="15"/>
      <c r="C587" s="15"/>
      <c r="D587" s="15"/>
      <c r="E587" s="15"/>
      <c r="F587" s="15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>
      <c r="A588" s="2"/>
      <c r="B588" s="15"/>
      <c r="C588" s="15"/>
      <c r="D588" s="15"/>
      <c r="E588" s="15"/>
      <c r="F588" s="15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>
      <c r="A589" s="2"/>
      <c r="B589" s="15"/>
      <c r="C589" s="15"/>
      <c r="D589" s="15"/>
      <c r="E589" s="15"/>
      <c r="F589" s="15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>
      <c r="A590" s="2"/>
      <c r="B590" s="15"/>
      <c r="C590" s="15"/>
      <c r="D590" s="15"/>
      <c r="E590" s="15"/>
      <c r="F590" s="15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>
      <c r="A591" s="2"/>
      <c r="B591" s="15"/>
      <c r="C591" s="15"/>
      <c r="D591" s="15"/>
      <c r="E591" s="15"/>
      <c r="F591" s="15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>
      <c r="A592" s="2"/>
      <c r="B592" s="15"/>
      <c r="C592" s="15"/>
      <c r="D592" s="15"/>
      <c r="E592" s="15"/>
      <c r="F592" s="15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>
      <c r="A593" s="2"/>
      <c r="B593" s="15"/>
      <c r="C593" s="15"/>
      <c r="D593" s="15"/>
      <c r="E593" s="15"/>
      <c r="F593" s="15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>
      <c r="A594" s="2"/>
      <c r="B594" s="15"/>
      <c r="C594" s="15"/>
      <c r="D594" s="15"/>
      <c r="E594" s="15"/>
      <c r="F594" s="15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>
      <c r="A595" s="2"/>
      <c r="B595" s="15"/>
      <c r="C595" s="15"/>
      <c r="D595" s="15"/>
      <c r="E595" s="15"/>
      <c r="F595" s="15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>
      <c r="A596" s="2"/>
      <c r="B596" s="15"/>
      <c r="C596" s="15"/>
      <c r="D596" s="15"/>
      <c r="E596" s="15"/>
      <c r="F596" s="15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>
      <c r="A597" s="2"/>
      <c r="B597" s="15"/>
      <c r="C597" s="15"/>
      <c r="D597" s="15"/>
      <c r="E597" s="15"/>
      <c r="F597" s="15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>
      <c r="A598" s="2"/>
      <c r="B598" s="15"/>
      <c r="C598" s="15"/>
      <c r="D598" s="15"/>
      <c r="E598" s="15"/>
      <c r="F598" s="15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>
      <c r="A599" s="2"/>
      <c r="B599" s="15"/>
      <c r="C599" s="15"/>
      <c r="D599" s="15"/>
      <c r="E599" s="15"/>
      <c r="F599" s="15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>
      <c r="A600" s="2"/>
      <c r="B600" s="15"/>
      <c r="C600" s="15"/>
      <c r="D600" s="15"/>
      <c r="E600" s="15"/>
      <c r="F600" s="15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>
      <c r="A601" s="2"/>
      <c r="B601" s="15"/>
      <c r="C601" s="15"/>
      <c r="D601" s="15"/>
      <c r="E601" s="15"/>
      <c r="F601" s="15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>
      <c r="A602" s="2"/>
      <c r="B602" s="15"/>
      <c r="C602" s="15"/>
      <c r="D602" s="15"/>
      <c r="E602" s="15"/>
      <c r="F602" s="15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>
      <c r="A603" s="2"/>
      <c r="B603" s="15"/>
      <c r="C603" s="15"/>
      <c r="D603" s="15"/>
      <c r="E603" s="15"/>
      <c r="F603" s="15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>
      <c r="A604" s="2"/>
      <c r="B604" s="15"/>
      <c r="C604" s="15"/>
      <c r="D604" s="15"/>
      <c r="E604" s="15"/>
      <c r="F604" s="15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>
      <c r="A605" s="2"/>
      <c r="B605" s="15"/>
      <c r="C605" s="15"/>
      <c r="D605" s="15"/>
      <c r="E605" s="15"/>
      <c r="F605" s="15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>
      <c r="A606" s="2"/>
      <c r="B606" s="15"/>
      <c r="C606" s="15"/>
      <c r="D606" s="15"/>
      <c r="E606" s="15"/>
      <c r="F606" s="15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>
      <c r="A607" s="2"/>
      <c r="B607" s="15"/>
      <c r="C607" s="15"/>
      <c r="D607" s="15"/>
      <c r="E607" s="15"/>
      <c r="F607" s="15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>
      <c r="A608" s="2"/>
      <c r="B608" s="15"/>
      <c r="C608" s="15"/>
      <c r="D608" s="15"/>
      <c r="E608" s="15"/>
      <c r="F608" s="15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>
      <c r="A609" s="2"/>
      <c r="B609" s="15"/>
      <c r="C609" s="15"/>
      <c r="D609" s="15"/>
      <c r="E609" s="15"/>
      <c r="F609" s="15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>
      <c r="A610" s="2"/>
      <c r="B610" s="15"/>
      <c r="C610" s="15"/>
      <c r="D610" s="15"/>
      <c r="E610" s="15"/>
      <c r="F610" s="15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>
      <c r="A611" s="2"/>
      <c r="B611" s="15"/>
      <c r="C611" s="15"/>
      <c r="D611" s="15"/>
      <c r="E611" s="15"/>
      <c r="F611" s="15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>
      <c r="A612" s="2"/>
      <c r="B612" s="15"/>
      <c r="C612" s="15"/>
      <c r="D612" s="15"/>
      <c r="E612" s="15"/>
      <c r="F612" s="15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>
      <c r="A613" s="2"/>
      <c r="B613" s="15"/>
      <c r="C613" s="15"/>
      <c r="D613" s="15"/>
      <c r="E613" s="15"/>
      <c r="F613" s="15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>
      <c r="A614" s="2"/>
      <c r="B614" s="15"/>
      <c r="C614" s="15"/>
      <c r="D614" s="15"/>
      <c r="E614" s="15"/>
      <c r="F614" s="15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>
      <c r="A615" s="2"/>
      <c r="B615" s="15"/>
      <c r="C615" s="15"/>
      <c r="D615" s="15"/>
      <c r="E615" s="15"/>
      <c r="F615" s="15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>
      <c r="A616" s="2"/>
      <c r="B616" s="15"/>
      <c r="C616" s="15"/>
      <c r="D616" s="15"/>
      <c r="E616" s="15"/>
      <c r="F616" s="15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>
      <c r="A617" s="2"/>
      <c r="B617" s="15"/>
      <c r="C617" s="15"/>
      <c r="D617" s="15"/>
      <c r="E617" s="15"/>
      <c r="F617" s="15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>
      <c r="A618" s="2"/>
      <c r="B618" s="15"/>
      <c r="C618" s="15"/>
      <c r="D618" s="15"/>
      <c r="E618" s="15"/>
      <c r="F618" s="15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>
      <c r="A619" s="2"/>
      <c r="B619" s="15"/>
      <c r="C619" s="15"/>
      <c r="D619" s="15"/>
      <c r="E619" s="15"/>
      <c r="F619" s="15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>
      <c r="A620" s="2"/>
      <c r="B620" s="15"/>
      <c r="C620" s="15"/>
      <c r="D620" s="15"/>
      <c r="E620" s="15"/>
      <c r="F620" s="15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>
      <c r="A621" s="2"/>
      <c r="B621" s="15"/>
      <c r="C621" s="15"/>
      <c r="D621" s="15"/>
      <c r="E621" s="15"/>
      <c r="F621" s="15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>
      <c r="A622" s="2"/>
      <c r="B622" s="15"/>
      <c r="C622" s="15"/>
      <c r="D622" s="15"/>
      <c r="E622" s="15"/>
      <c r="F622" s="15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>
      <c r="A623" s="2"/>
      <c r="B623" s="15"/>
      <c r="C623" s="15"/>
      <c r="D623" s="15"/>
      <c r="E623" s="15"/>
      <c r="F623" s="15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>
      <c r="A624" s="2"/>
      <c r="B624" s="15"/>
      <c r="C624" s="15"/>
      <c r="D624" s="15"/>
      <c r="E624" s="15"/>
      <c r="F624" s="15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>
      <c r="A625" s="2"/>
      <c r="B625" s="15"/>
      <c r="C625" s="15"/>
      <c r="D625" s="15"/>
      <c r="E625" s="15"/>
      <c r="F625" s="15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>
      <c r="A626" s="2"/>
      <c r="B626" s="15"/>
      <c r="C626" s="15"/>
      <c r="D626" s="15"/>
      <c r="E626" s="15"/>
      <c r="F626" s="15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>
      <c r="A627" s="2"/>
      <c r="B627" s="15"/>
      <c r="C627" s="15"/>
      <c r="D627" s="15"/>
      <c r="E627" s="15"/>
      <c r="F627" s="15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>
      <c r="A628" s="2"/>
      <c r="B628" s="15"/>
      <c r="C628" s="15"/>
      <c r="D628" s="15"/>
      <c r="E628" s="15"/>
      <c r="F628" s="15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>
      <c r="A629" s="2"/>
      <c r="B629" s="15"/>
      <c r="C629" s="15"/>
      <c r="D629" s="15"/>
      <c r="E629" s="15"/>
      <c r="F629" s="15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>
      <c r="A630" s="2"/>
      <c r="B630" s="15"/>
      <c r="C630" s="15"/>
      <c r="D630" s="15"/>
      <c r="E630" s="15"/>
      <c r="F630" s="15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>
      <c r="A631" s="2"/>
      <c r="B631" s="15"/>
      <c r="C631" s="15"/>
      <c r="D631" s="15"/>
      <c r="E631" s="15"/>
      <c r="F631" s="15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>
      <c r="A632" s="2"/>
      <c r="B632" s="15"/>
      <c r="C632" s="15"/>
      <c r="D632" s="15"/>
      <c r="E632" s="15"/>
      <c r="F632" s="15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>
      <c r="A633" s="2"/>
      <c r="B633" s="15"/>
      <c r="C633" s="15"/>
      <c r="D633" s="15"/>
      <c r="E633" s="15"/>
      <c r="F633" s="15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>
      <c r="A634" s="2"/>
      <c r="B634" s="15"/>
      <c r="C634" s="15"/>
      <c r="D634" s="15"/>
      <c r="E634" s="15"/>
      <c r="F634" s="15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>
      <c r="A635" s="2"/>
      <c r="B635" s="15"/>
      <c r="C635" s="15"/>
      <c r="D635" s="15"/>
      <c r="E635" s="15"/>
      <c r="F635" s="15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>
      <c r="A636" s="2"/>
      <c r="B636" s="15"/>
      <c r="C636" s="15"/>
      <c r="D636" s="15"/>
      <c r="E636" s="15"/>
      <c r="F636" s="15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>
      <c r="A637" s="2"/>
      <c r="B637" s="15"/>
      <c r="C637" s="15"/>
      <c r="D637" s="15"/>
      <c r="E637" s="15"/>
      <c r="F637" s="15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>
      <c r="A638" s="2"/>
      <c r="B638" s="15"/>
      <c r="C638" s="15"/>
      <c r="D638" s="15"/>
      <c r="E638" s="15"/>
      <c r="F638" s="15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>
      <c r="A639" s="2"/>
      <c r="B639" s="15"/>
      <c r="C639" s="15"/>
      <c r="D639" s="15"/>
      <c r="E639" s="15"/>
      <c r="F639" s="15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>
      <c r="A640" s="2"/>
      <c r="B640" s="15"/>
      <c r="C640" s="15"/>
      <c r="D640" s="15"/>
      <c r="E640" s="15"/>
      <c r="F640" s="15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>
      <c r="A641" s="2"/>
      <c r="B641" s="15"/>
      <c r="C641" s="15"/>
      <c r="D641" s="15"/>
      <c r="E641" s="15"/>
      <c r="F641" s="15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>
      <c r="A642" s="2"/>
      <c r="B642" s="15"/>
      <c r="C642" s="15"/>
      <c r="D642" s="15"/>
      <c r="E642" s="15"/>
      <c r="F642" s="15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>
      <c r="A643" s="2"/>
      <c r="B643" s="15"/>
      <c r="C643" s="15"/>
      <c r="D643" s="15"/>
      <c r="E643" s="15"/>
      <c r="F643" s="15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>
      <c r="A644" s="2"/>
      <c r="B644" s="15"/>
      <c r="C644" s="15"/>
      <c r="D644" s="15"/>
      <c r="E644" s="15"/>
      <c r="F644" s="15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>
      <c r="A645" s="2"/>
      <c r="B645" s="15"/>
      <c r="C645" s="15"/>
      <c r="D645" s="15"/>
      <c r="E645" s="15"/>
      <c r="F645" s="15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>
      <c r="A646" s="2"/>
      <c r="B646" s="15"/>
      <c r="C646" s="15"/>
      <c r="D646" s="15"/>
      <c r="E646" s="15"/>
      <c r="F646" s="15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>
      <c r="A647" s="2"/>
      <c r="B647" s="15"/>
      <c r="C647" s="15"/>
      <c r="D647" s="15"/>
      <c r="E647" s="15"/>
      <c r="F647" s="15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>
      <c r="A648" s="2"/>
      <c r="B648" s="15"/>
      <c r="C648" s="15"/>
      <c r="D648" s="15"/>
      <c r="E648" s="15"/>
      <c r="F648" s="15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>
      <c r="A649" s="2"/>
      <c r="B649" s="15"/>
      <c r="C649" s="15"/>
      <c r="D649" s="15"/>
      <c r="E649" s="15"/>
      <c r="F649" s="15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>
      <c r="A650" s="2"/>
      <c r="B650" s="15"/>
      <c r="C650" s="15"/>
      <c r="D650" s="15"/>
      <c r="E650" s="15"/>
      <c r="F650" s="15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>
      <c r="A651" s="2"/>
      <c r="B651" s="15"/>
      <c r="C651" s="15"/>
      <c r="D651" s="15"/>
      <c r="E651" s="15"/>
      <c r="F651" s="15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>
      <c r="A652" s="2"/>
      <c r="B652" s="15"/>
      <c r="C652" s="15"/>
      <c r="D652" s="15"/>
      <c r="E652" s="15"/>
      <c r="F652" s="15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>
      <c r="A653" s="2"/>
      <c r="B653" s="15"/>
      <c r="C653" s="15"/>
      <c r="D653" s="15"/>
      <c r="E653" s="15"/>
      <c r="F653" s="15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>
      <c r="A654" s="2"/>
      <c r="B654" s="15"/>
      <c r="C654" s="15"/>
      <c r="D654" s="15"/>
      <c r="E654" s="15"/>
      <c r="F654" s="15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>
      <c r="A655" s="2"/>
      <c r="B655" s="15"/>
      <c r="C655" s="15"/>
      <c r="D655" s="15"/>
      <c r="E655" s="15"/>
      <c r="F655" s="15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>
      <c r="A656" s="2"/>
      <c r="B656" s="15"/>
      <c r="C656" s="15"/>
      <c r="D656" s="15"/>
      <c r="E656" s="15"/>
      <c r="F656" s="15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>
      <c r="A657" s="2"/>
      <c r="B657" s="15"/>
      <c r="C657" s="15"/>
      <c r="D657" s="15"/>
      <c r="E657" s="15"/>
      <c r="F657" s="15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>
      <c r="A658" s="2"/>
      <c r="B658" s="15"/>
      <c r="C658" s="15"/>
      <c r="D658" s="15"/>
      <c r="E658" s="15"/>
      <c r="F658" s="15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>
      <c r="A659" s="2"/>
      <c r="B659" s="15"/>
      <c r="C659" s="15"/>
      <c r="D659" s="15"/>
      <c r="E659" s="15"/>
      <c r="F659" s="15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>
      <c r="A660" s="2"/>
      <c r="B660" s="15"/>
      <c r="C660" s="15"/>
      <c r="D660" s="15"/>
      <c r="E660" s="15"/>
      <c r="F660" s="15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>
      <c r="A661" s="2"/>
      <c r="B661" s="15"/>
      <c r="C661" s="15"/>
      <c r="D661" s="15"/>
      <c r="E661" s="15"/>
      <c r="F661" s="15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>
      <c r="A662" s="2"/>
      <c r="B662" s="15"/>
      <c r="C662" s="15"/>
      <c r="D662" s="15"/>
      <c r="E662" s="15"/>
      <c r="F662" s="15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>
      <c r="A663" s="2"/>
      <c r="B663" s="15"/>
      <c r="C663" s="15"/>
      <c r="D663" s="15"/>
      <c r="E663" s="15"/>
      <c r="F663" s="15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>
      <c r="A664" s="2"/>
      <c r="B664" s="15"/>
      <c r="C664" s="15"/>
      <c r="D664" s="15"/>
      <c r="E664" s="15"/>
      <c r="F664" s="15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>
      <c r="A665" s="2"/>
      <c r="B665" s="15"/>
      <c r="C665" s="15"/>
      <c r="D665" s="15"/>
      <c r="E665" s="15"/>
      <c r="F665" s="15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>
      <c r="A666" s="2"/>
      <c r="B666" s="15"/>
      <c r="C666" s="15"/>
      <c r="D666" s="15"/>
      <c r="E666" s="15"/>
      <c r="F666" s="15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>
      <c r="A667" s="2"/>
      <c r="B667" s="15"/>
      <c r="C667" s="15"/>
      <c r="D667" s="15"/>
      <c r="E667" s="15"/>
      <c r="F667" s="15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>
      <c r="A668" s="2"/>
      <c r="B668" s="15"/>
      <c r="C668" s="15"/>
      <c r="D668" s="15"/>
      <c r="E668" s="15"/>
      <c r="F668" s="15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>
      <c r="A669" s="2"/>
      <c r="B669" s="15"/>
      <c r="C669" s="15"/>
      <c r="D669" s="15"/>
      <c r="E669" s="15"/>
      <c r="F669" s="15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>
      <c r="A670" s="2"/>
      <c r="B670" s="15"/>
      <c r="C670" s="15"/>
      <c r="D670" s="15"/>
      <c r="E670" s="15"/>
      <c r="F670" s="15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>
      <c r="A671" s="2"/>
      <c r="B671" s="15"/>
      <c r="C671" s="15"/>
      <c r="D671" s="15"/>
      <c r="E671" s="15"/>
      <c r="F671" s="15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>
      <c r="A672" s="2"/>
      <c r="B672" s="15"/>
      <c r="C672" s="15"/>
      <c r="D672" s="15"/>
      <c r="E672" s="15"/>
      <c r="F672" s="15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>
      <c r="A673" s="2"/>
      <c r="B673" s="15"/>
      <c r="C673" s="15"/>
      <c r="D673" s="15"/>
      <c r="E673" s="15"/>
      <c r="F673" s="15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>
      <c r="A674" s="2"/>
      <c r="B674" s="15"/>
      <c r="C674" s="15"/>
      <c r="D674" s="15"/>
      <c r="E674" s="15"/>
      <c r="F674" s="15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>
      <c r="A675" s="2"/>
      <c r="B675" s="15"/>
      <c r="C675" s="15"/>
      <c r="D675" s="15"/>
      <c r="E675" s="15"/>
      <c r="F675" s="15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>
      <c r="A676" s="2"/>
      <c r="B676" s="15"/>
      <c r="C676" s="15"/>
      <c r="D676" s="15"/>
      <c r="E676" s="15"/>
      <c r="F676" s="15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>
      <c r="A677" s="2"/>
      <c r="B677" s="15"/>
      <c r="C677" s="15"/>
      <c r="D677" s="15"/>
      <c r="E677" s="15"/>
      <c r="F677" s="15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>
      <c r="A678" s="2"/>
      <c r="B678" s="15"/>
      <c r="C678" s="15"/>
      <c r="D678" s="15"/>
      <c r="E678" s="15"/>
      <c r="F678" s="15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>
      <c r="A679" s="2"/>
      <c r="B679" s="15"/>
      <c r="C679" s="15"/>
      <c r="D679" s="15"/>
      <c r="E679" s="15"/>
      <c r="F679" s="15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>
      <c r="A680" s="2"/>
      <c r="B680" s="15"/>
      <c r="C680" s="15"/>
      <c r="D680" s="15"/>
      <c r="E680" s="15"/>
      <c r="F680" s="15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>
      <c r="A681" s="2"/>
      <c r="B681" s="15"/>
      <c r="C681" s="15"/>
      <c r="D681" s="15"/>
      <c r="E681" s="15"/>
      <c r="F681" s="15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>
      <c r="A682" s="2"/>
      <c r="B682" s="15"/>
      <c r="C682" s="15"/>
      <c r="D682" s="15"/>
      <c r="E682" s="15"/>
      <c r="F682" s="15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>
      <c r="A683" s="2"/>
      <c r="B683" s="15"/>
      <c r="C683" s="15"/>
      <c r="D683" s="15"/>
      <c r="E683" s="15"/>
      <c r="F683" s="15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>
      <c r="A684" s="2"/>
      <c r="B684" s="15"/>
      <c r="C684" s="15"/>
      <c r="D684" s="15"/>
      <c r="E684" s="15"/>
      <c r="F684" s="15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>
      <c r="A685" s="2"/>
      <c r="B685" s="15"/>
      <c r="C685" s="15"/>
      <c r="D685" s="15"/>
      <c r="E685" s="15"/>
      <c r="F685" s="15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>
      <c r="A686" s="2"/>
      <c r="B686" s="15"/>
      <c r="C686" s="15"/>
      <c r="D686" s="15"/>
      <c r="E686" s="15"/>
      <c r="F686" s="15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>
      <c r="A687" s="2"/>
      <c r="B687" s="15"/>
      <c r="C687" s="15"/>
      <c r="D687" s="15"/>
      <c r="E687" s="15"/>
      <c r="F687" s="15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>
      <c r="A688" s="2"/>
      <c r="B688" s="15"/>
      <c r="C688" s="15"/>
      <c r="D688" s="15"/>
      <c r="E688" s="15"/>
      <c r="F688" s="15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>
      <c r="A689" s="2"/>
      <c r="B689" s="15"/>
      <c r="C689" s="15"/>
      <c r="D689" s="15"/>
      <c r="E689" s="15"/>
      <c r="F689" s="15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>
      <c r="A690" s="2"/>
      <c r="B690" s="15"/>
      <c r="C690" s="15"/>
      <c r="D690" s="15"/>
      <c r="E690" s="15"/>
      <c r="F690" s="15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>
      <c r="A691" s="2"/>
      <c r="B691" s="15"/>
      <c r="C691" s="15"/>
      <c r="D691" s="15"/>
      <c r="E691" s="15"/>
      <c r="F691" s="15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>
      <c r="A692" s="2"/>
      <c r="B692" s="15"/>
      <c r="C692" s="15"/>
      <c r="D692" s="15"/>
      <c r="E692" s="15"/>
      <c r="F692" s="15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>
      <c r="A693" s="2"/>
      <c r="B693" s="15"/>
      <c r="C693" s="15"/>
      <c r="D693" s="15"/>
      <c r="E693" s="15"/>
      <c r="F693" s="15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>
      <c r="A694" s="2"/>
      <c r="B694" s="15"/>
      <c r="C694" s="15"/>
      <c r="D694" s="15"/>
      <c r="E694" s="15"/>
      <c r="F694" s="15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>
      <c r="A695" s="2"/>
      <c r="B695" s="15"/>
      <c r="C695" s="15"/>
      <c r="D695" s="15"/>
      <c r="E695" s="15"/>
      <c r="F695" s="15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>
      <c r="A696" s="2"/>
      <c r="B696" s="15"/>
      <c r="C696" s="15"/>
      <c r="D696" s="15"/>
      <c r="E696" s="15"/>
      <c r="F696" s="15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>
      <c r="A697" s="2"/>
      <c r="B697" s="15"/>
      <c r="C697" s="15"/>
      <c r="D697" s="15"/>
      <c r="E697" s="15"/>
      <c r="F697" s="15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>
      <c r="A698" s="2"/>
      <c r="B698" s="15"/>
      <c r="C698" s="15"/>
      <c r="D698" s="15"/>
      <c r="E698" s="15"/>
      <c r="F698" s="15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>
      <c r="A699" s="2"/>
      <c r="B699" s="15"/>
      <c r="C699" s="15"/>
      <c r="D699" s="15"/>
      <c r="E699" s="15"/>
      <c r="F699" s="15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>
      <c r="A700" s="2"/>
      <c r="B700" s="15"/>
      <c r="C700" s="15"/>
      <c r="D700" s="15"/>
      <c r="E700" s="15"/>
      <c r="F700" s="15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>
      <c r="A701" s="2"/>
      <c r="B701" s="15"/>
      <c r="C701" s="15"/>
      <c r="D701" s="15"/>
      <c r="E701" s="15"/>
      <c r="F701" s="15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>
      <c r="A702" s="2"/>
      <c r="B702" s="15"/>
      <c r="C702" s="15"/>
      <c r="D702" s="15"/>
      <c r="E702" s="15"/>
      <c r="F702" s="15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>
      <c r="A703" s="2"/>
      <c r="B703" s="15"/>
      <c r="C703" s="15"/>
      <c r="D703" s="15"/>
      <c r="E703" s="15"/>
      <c r="F703" s="15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>
      <c r="A704" s="2"/>
      <c r="B704" s="15"/>
      <c r="C704" s="15"/>
      <c r="D704" s="15"/>
      <c r="E704" s="15"/>
      <c r="F704" s="15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>
      <c r="A705" s="2"/>
      <c r="B705" s="15"/>
      <c r="C705" s="15"/>
      <c r="D705" s="15"/>
      <c r="E705" s="15"/>
      <c r="F705" s="15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>
      <c r="A706" s="2"/>
      <c r="B706" s="15"/>
      <c r="C706" s="15"/>
      <c r="D706" s="15"/>
      <c r="E706" s="15"/>
      <c r="F706" s="15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>
      <c r="A707" s="2"/>
      <c r="B707" s="15"/>
      <c r="C707" s="15"/>
      <c r="D707" s="15"/>
      <c r="E707" s="15"/>
      <c r="F707" s="15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>
      <c r="A708" s="2"/>
      <c r="B708" s="15"/>
      <c r="C708" s="15"/>
      <c r="D708" s="15"/>
      <c r="E708" s="15"/>
      <c r="F708" s="15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>
      <c r="A709" s="2"/>
      <c r="B709" s="15"/>
      <c r="C709" s="15"/>
      <c r="D709" s="15"/>
      <c r="E709" s="15"/>
      <c r="F709" s="15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>
      <c r="A710" s="2"/>
      <c r="B710" s="15"/>
      <c r="C710" s="15"/>
      <c r="D710" s="15"/>
      <c r="E710" s="15"/>
      <c r="F710" s="15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>
      <c r="A711" s="2"/>
      <c r="B711" s="15"/>
      <c r="C711" s="15"/>
      <c r="D711" s="15"/>
      <c r="E711" s="15"/>
      <c r="F711" s="15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>
      <c r="A712" s="2"/>
      <c r="B712" s="15"/>
      <c r="C712" s="15"/>
      <c r="D712" s="15"/>
      <c r="E712" s="15"/>
      <c r="F712" s="15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>
      <c r="A713" s="2"/>
      <c r="B713" s="15"/>
      <c r="C713" s="15"/>
      <c r="D713" s="15"/>
      <c r="E713" s="15"/>
      <c r="F713" s="15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>
      <c r="A714" s="2"/>
      <c r="B714" s="15"/>
      <c r="C714" s="15"/>
      <c r="D714" s="15"/>
      <c r="E714" s="15"/>
      <c r="F714" s="15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>
      <c r="A715" s="2"/>
      <c r="B715" s="15"/>
      <c r="C715" s="15"/>
      <c r="D715" s="15"/>
      <c r="E715" s="15"/>
      <c r="F715" s="15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>
      <c r="A716" s="2"/>
      <c r="B716" s="15"/>
      <c r="C716" s="15"/>
      <c r="D716" s="15"/>
      <c r="E716" s="15"/>
      <c r="F716" s="15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>
      <c r="A717" s="2"/>
      <c r="B717" s="15"/>
      <c r="C717" s="15"/>
      <c r="D717" s="15"/>
      <c r="E717" s="15"/>
      <c r="F717" s="15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>
      <c r="A718" s="2"/>
      <c r="B718" s="15"/>
      <c r="C718" s="15"/>
      <c r="D718" s="15"/>
      <c r="E718" s="15"/>
      <c r="F718" s="15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>
      <c r="A719" s="2"/>
      <c r="B719" s="15"/>
      <c r="C719" s="15"/>
      <c r="D719" s="15"/>
      <c r="E719" s="15"/>
      <c r="F719" s="15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>
      <c r="A720" s="2"/>
      <c r="B720" s="15"/>
      <c r="C720" s="15"/>
      <c r="D720" s="15"/>
      <c r="E720" s="15"/>
      <c r="F720" s="15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>
      <c r="A721" s="2"/>
      <c r="B721" s="15"/>
      <c r="C721" s="15"/>
      <c r="D721" s="15"/>
      <c r="E721" s="15"/>
      <c r="F721" s="15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>
      <c r="A722" s="2"/>
      <c r="B722" s="15"/>
      <c r="C722" s="15"/>
      <c r="D722" s="15"/>
      <c r="E722" s="15"/>
      <c r="F722" s="15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>
      <c r="A723" s="2"/>
      <c r="B723" s="15"/>
      <c r="C723" s="15"/>
      <c r="D723" s="15"/>
      <c r="E723" s="15"/>
      <c r="F723" s="15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>
      <c r="A724" s="2"/>
      <c r="B724" s="15"/>
      <c r="C724" s="15"/>
      <c r="D724" s="15"/>
      <c r="E724" s="15"/>
      <c r="F724" s="15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>
      <c r="A725" s="2"/>
      <c r="B725" s="15"/>
      <c r="C725" s="15"/>
      <c r="D725" s="15"/>
      <c r="E725" s="15"/>
      <c r="F725" s="15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>
      <c r="A726" s="2"/>
      <c r="B726" s="15"/>
      <c r="C726" s="15"/>
      <c r="D726" s="15"/>
      <c r="E726" s="15"/>
      <c r="F726" s="15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>
      <c r="A727" s="2"/>
      <c r="B727" s="15"/>
      <c r="C727" s="15"/>
      <c r="D727" s="15"/>
      <c r="E727" s="15"/>
      <c r="F727" s="15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>
      <c r="A728" s="2"/>
      <c r="B728" s="15"/>
      <c r="C728" s="15"/>
      <c r="D728" s="15"/>
      <c r="E728" s="15"/>
      <c r="F728" s="15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>
      <c r="A729" s="2"/>
      <c r="B729" s="15"/>
      <c r="C729" s="15"/>
      <c r="D729" s="15"/>
      <c r="E729" s="15"/>
      <c r="F729" s="15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>
      <c r="A730" s="2"/>
      <c r="B730" s="15"/>
      <c r="C730" s="15"/>
      <c r="D730" s="15"/>
      <c r="E730" s="15"/>
      <c r="F730" s="15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>
      <c r="A731" s="2"/>
      <c r="B731" s="15"/>
      <c r="C731" s="15"/>
      <c r="D731" s="15"/>
      <c r="E731" s="15"/>
      <c r="F731" s="15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>
      <c r="A732" s="2"/>
      <c r="B732" s="15"/>
      <c r="C732" s="15"/>
      <c r="D732" s="15"/>
      <c r="E732" s="15"/>
      <c r="F732" s="15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>
      <c r="A733" s="2"/>
      <c r="B733" s="15"/>
      <c r="C733" s="15"/>
      <c r="D733" s="15"/>
      <c r="E733" s="15"/>
      <c r="F733" s="15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>
      <c r="A734" s="2"/>
      <c r="B734" s="15"/>
      <c r="C734" s="15"/>
      <c r="D734" s="15"/>
      <c r="E734" s="15"/>
      <c r="F734" s="15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>
      <c r="A735" s="2"/>
      <c r="B735" s="15"/>
      <c r="C735" s="15"/>
      <c r="D735" s="15"/>
      <c r="E735" s="15"/>
      <c r="F735" s="15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>
      <c r="A736" s="2"/>
      <c r="B736" s="15"/>
      <c r="C736" s="15"/>
      <c r="D736" s="15"/>
      <c r="E736" s="15"/>
      <c r="F736" s="15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>
      <c r="A737" s="2"/>
      <c r="B737" s="15"/>
      <c r="C737" s="15"/>
      <c r="D737" s="15"/>
      <c r="E737" s="15"/>
      <c r="F737" s="15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>
      <c r="A738" s="2"/>
      <c r="B738" s="15"/>
      <c r="C738" s="15"/>
      <c r="D738" s="15"/>
      <c r="E738" s="15"/>
      <c r="F738" s="15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>
      <c r="A739" s="2"/>
      <c r="B739" s="15"/>
      <c r="C739" s="15"/>
      <c r="D739" s="15"/>
      <c r="E739" s="15"/>
      <c r="F739" s="15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>
      <c r="A740" s="2"/>
      <c r="B740" s="15"/>
      <c r="C740" s="15"/>
      <c r="D740" s="15"/>
      <c r="E740" s="15"/>
      <c r="F740" s="15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>
      <c r="A741" s="2"/>
      <c r="B741" s="15"/>
      <c r="C741" s="15"/>
      <c r="D741" s="15"/>
      <c r="E741" s="15"/>
      <c r="F741" s="15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>
      <c r="A742" s="2"/>
      <c r="B742" s="15"/>
      <c r="C742" s="15"/>
      <c r="D742" s="15"/>
      <c r="E742" s="15"/>
      <c r="F742" s="15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>
      <c r="A743" s="2"/>
      <c r="B743" s="15"/>
      <c r="C743" s="15"/>
      <c r="D743" s="15"/>
      <c r="E743" s="15"/>
      <c r="F743" s="15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>
      <c r="A744" s="2"/>
      <c r="B744" s="15"/>
      <c r="C744" s="15"/>
      <c r="D744" s="15"/>
      <c r="E744" s="15"/>
      <c r="F744" s="15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>
      <c r="A745" s="2"/>
      <c r="B745" s="15"/>
      <c r="C745" s="15"/>
      <c r="D745" s="15"/>
      <c r="E745" s="15"/>
      <c r="F745" s="15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>
      <c r="A746" s="2"/>
      <c r="B746" s="15"/>
      <c r="C746" s="15"/>
      <c r="D746" s="15"/>
      <c r="E746" s="15"/>
      <c r="F746" s="15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>
      <c r="A747" s="2"/>
      <c r="B747" s="15"/>
      <c r="C747" s="15"/>
      <c r="D747" s="15"/>
      <c r="E747" s="15"/>
      <c r="F747" s="15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>
      <c r="A748" s="2"/>
      <c r="B748" s="15"/>
      <c r="C748" s="15"/>
      <c r="D748" s="15"/>
      <c r="E748" s="15"/>
      <c r="F748" s="15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>
      <c r="A749" s="2"/>
      <c r="B749" s="15"/>
      <c r="C749" s="15"/>
      <c r="D749" s="15"/>
      <c r="E749" s="15"/>
      <c r="F749" s="15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>
      <c r="A750" s="2"/>
      <c r="B750" s="15"/>
      <c r="C750" s="15"/>
      <c r="D750" s="15"/>
      <c r="E750" s="15"/>
      <c r="F750" s="15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>
      <c r="A751" s="2"/>
      <c r="B751" s="15"/>
      <c r="C751" s="15"/>
      <c r="D751" s="15"/>
      <c r="E751" s="15"/>
      <c r="F751" s="15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>
      <c r="A752" s="2"/>
      <c r="B752" s="15"/>
      <c r="C752" s="15"/>
      <c r="D752" s="15"/>
      <c r="E752" s="15"/>
      <c r="F752" s="15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>
      <c r="A753" s="2"/>
      <c r="B753" s="15"/>
      <c r="C753" s="15"/>
      <c r="D753" s="15"/>
      <c r="E753" s="15"/>
      <c r="F753" s="15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>
      <c r="A754" s="2"/>
      <c r="B754" s="15"/>
      <c r="C754" s="15"/>
      <c r="D754" s="15"/>
      <c r="E754" s="15"/>
      <c r="F754" s="15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>
      <c r="A755" s="2"/>
      <c r="B755" s="15"/>
      <c r="C755" s="15"/>
      <c r="D755" s="15"/>
      <c r="E755" s="15"/>
      <c r="F755" s="15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>
      <c r="A756" s="2"/>
      <c r="B756" s="15"/>
      <c r="C756" s="15"/>
      <c r="D756" s="15"/>
      <c r="E756" s="15"/>
      <c r="F756" s="15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>
      <c r="A757" s="2"/>
      <c r="B757" s="15"/>
      <c r="C757" s="15"/>
      <c r="D757" s="15"/>
      <c r="E757" s="15"/>
      <c r="F757" s="15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>
      <c r="A758" s="2"/>
      <c r="B758" s="15"/>
      <c r="C758" s="15"/>
      <c r="D758" s="15"/>
      <c r="E758" s="15"/>
      <c r="F758" s="15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>
      <c r="A759" s="2"/>
      <c r="B759" s="15"/>
      <c r="C759" s="15"/>
      <c r="D759" s="15"/>
      <c r="E759" s="15"/>
      <c r="F759" s="15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>
      <c r="A760" s="2"/>
      <c r="B760" s="15"/>
      <c r="C760" s="15"/>
      <c r="D760" s="15"/>
      <c r="E760" s="15"/>
      <c r="F760" s="15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>
      <c r="A761" s="2"/>
      <c r="B761" s="15"/>
      <c r="C761" s="15"/>
      <c r="D761" s="15"/>
      <c r="E761" s="15"/>
      <c r="F761" s="15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>
      <c r="A762" s="2"/>
      <c r="B762" s="15"/>
      <c r="C762" s="15"/>
      <c r="D762" s="15"/>
      <c r="E762" s="15"/>
      <c r="F762" s="15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>
      <c r="A763" s="2"/>
      <c r="B763" s="15"/>
      <c r="C763" s="15"/>
      <c r="D763" s="15"/>
      <c r="E763" s="15"/>
      <c r="F763" s="15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>
      <c r="A764" s="2"/>
      <c r="B764" s="15"/>
      <c r="C764" s="15"/>
      <c r="D764" s="15"/>
      <c r="E764" s="15"/>
      <c r="F764" s="15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>
      <c r="A765" s="2"/>
      <c r="B765" s="15"/>
      <c r="C765" s="15"/>
      <c r="D765" s="15"/>
      <c r="E765" s="15"/>
      <c r="F765" s="15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>
      <c r="A766" s="2"/>
      <c r="B766" s="15"/>
      <c r="C766" s="15"/>
      <c r="D766" s="15"/>
      <c r="E766" s="15"/>
      <c r="F766" s="15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>
      <c r="A767" s="2"/>
      <c r="B767" s="15"/>
      <c r="C767" s="15"/>
      <c r="D767" s="15"/>
      <c r="E767" s="15"/>
      <c r="F767" s="15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>
      <c r="A768" s="2"/>
      <c r="B768" s="15"/>
      <c r="C768" s="15"/>
      <c r="D768" s="15"/>
      <c r="E768" s="15"/>
      <c r="F768" s="15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>
      <c r="A769" s="2"/>
      <c r="B769" s="15"/>
      <c r="C769" s="15"/>
      <c r="D769" s="15"/>
      <c r="E769" s="15"/>
      <c r="F769" s="15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>
      <c r="A770" s="2"/>
      <c r="B770" s="15"/>
      <c r="C770" s="15"/>
      <c r="D770" s="15"/>
      <c r="E770" s="15"/>
      <c r="F770" s="15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>
      <c r="A771" s="2"/>
      <c r="B771" s="15"/>
      <c r="C771" s="15"/>
      <c r="D771" s="15"/>
      <c r="E771" s="15"/>
      <c r="F771" s="15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>
      <c r="A772" s="2"/>
      <c r="B772" s="15"/>
      <c r="C772" s="15"/>
      <c r="D772" s="15"/>
      <c r="E772" s="15"/>
      <c r="F772" s="15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>
      <c r="A773" s="2"/>
      <c r="B773" s="15"/>
      <c r="C773" s="15"/>
      <c r="D773" s="15"/>
      <c r="E773" s="15"/>
      <c r="F773" s="15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>
      <c r="A774" s="2"/>
      <c r="B774" s="15"/>
      <c r="C774" s="15"/>
      <c r="D774" s="15"/>
      <c r="E774" s="15"/>
      <c r="F774" s="15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>
      <c r="A775" s="2"/>
      <c r="B775" s="15"/>
      <c r="C775" s="15"/>
      <c r="D775" s="15"/>
      <c r="E775" s="15"/>
      <c r="F775" s="15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>
      <c r="A776" s="2"/>
      <c r="B776" s="15"/>
      <c r="C776" s="15"/>
      <c r="D776" s="15"/>
      <c r="E776" s="15"/>
      <c r="F776" s="15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>
      <c r="A777" s="2"/>
      <c r="B777" s="15"/>
      <c r="C777" s="15"/>
      <c r="D777" s="15"/>
      <c r="E777" s="15"/>
      <c r="F777" s="15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>
      <c r="A778" s="2"/>
      <c r="B778" s="15"/>
      <c r="C778" s="15"/>
      <c r="D778" s="15"/>
      <c r="E778" s="15"/>
      <c r="F778" s="15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>
      <c r="A779" s="2"/>
      <c r="B779" s="15"/>
      <c r="C779" s="15"/>
      <c r="D779" s="15"/>
      <c r="E779" s="15"/>
      <c r="F779" s="15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>
      <c r="A780" s="2"/>
      <c r="B780" s="15"/>
      <c r="C780" s="15"/>
      <c r="D780" s="15"/>
      <c r="E780" s="15"/>
      <c r="F780" s="15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>
      <c r="A781" s="2"/>
      <c r="B781" s="15"/>
      <c r="C781" s="15"/>
      <c r="D781" s="15"/>
      <c r="E781" s="15"/>
      <c r="F781" s="15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>
      <c r="A782" s="2"/>
      <c r="B782" s="15"/>
      <c r="C782" s="15"/>
      <c r="D782" s="15"/>
      <c r="E782" s="15"/>
      <c r="F782" s="15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>
      <c r="A783" s="2"/>
      <c r="B783" s="15"/>
      <c r="C783" s="15"/>
      <c r="D783" s="15"/>
      <c r="E783" s="15"/>
      <c r="F783" s="15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>
      <c r="A784" s="2"/>
      <c r="B784" s="15"/>
      <c r="C784" s="15"/>
      <c r="D784" s="15"/>
      <c r="E784" s="15"/>
      <c r="F784" s="15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>
      <c r="A785" s="2"/>
      <c r="B785" s="15"/>
      <c r="C785" s="15"/>
      <c r="D785" s="15"/>
      <c r="E785" s="15"/>
      <c r="F785" s="15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>
      <c r="A786" s="2"/>
      <c r="B786" s="15"/>
      <c r="C786" s="15"/>
      <c r="D786" s="15"/>
      <c r="E786" s="15"/>
      <c r="F786" s="15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>
      <c r="A787" s="2"/>
      <c r="B787" s="15"/>
      <c r="C787" s="15"/>
      <c r="D787" s="15"/>
      <c r="E787" s="15"/>
      <c r="F787" s="15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>
      <c r="A788" s="2"/>
      <c r="B788" s="15"/>
      <c r="C788" s="15"/>
      <c r="D788" s="15"/>
      <c r="E788" s="15"/>
      <c r="F788" s="15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>
      <c r="A789" s="2"/>
      <c r="B789" s="15"/>
      <c r="C789" s="15"/>
      <c r="D789" s="15"/>
      <c r="E789" s="15"/>
      <c r="F789" s="15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>
      <c r="A790" s="2"/>
      <c r="B790" s="15"/>
      <c r="C790" s="15"/>
      <c r="D790" s="15"/>
      <c r="E790" s="15"/>
      <c r="F790" s="15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>
      <c r="A791" s="2"/>
      <c r="B791" s="15"/>
      <c r="C791" s="15"/>
      <c r="D791" s="15"/>
      <c r="E791" s="15"/>
      <c r="F791" s="15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>
      <c r="A792" s="2"/>
      <c r="B792" s="15"/>
      <c r="C792" s="15"/>
      <c r="D792" s="15"/>
      <c r="E792" s="15"/>
      <c r="F792" s="15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>
      <c r="A793" s="2"/>
      <c r="B793" s="15"/>
      <c r="C793" s="15"/>
      <c r="D793" s="15"/>
      <c r="E793" s="15"/>
      <c r="F793" s="15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>
      <c r="A794" s="2"/>
      <c r="B794" s="15"/>
      <c r="C794" s="15"/>
      <c r="D794" s="15"/>
      <c r="E794" s="15"/>
      <c r="F794" s="15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>
      <c r="A795" s="2"/>
      <c r="B795" s="15"/>
      <c r="C795" s="15"/>
      <c r="D795" s="15"/>
      <c r="E795" s="15"/>
      <c r="F795" s="15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>
      <c r="A796" s="2"/>
      <c r="B796" s="15"/>
      <c r="C796" s="15"/>
      <c r="D796" s="15"/>
      <c r="E796" s="15"/>
      <c r="F796" s="15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>
      <c r="A797" s="2"/>
      <c r="B797" s="15"/>
      <c r="C797" s="15"/>
      <c r="D797" s="15"/>
      <c r="E797" s="15"/>
      <c r="F797" s="15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>
      <c r="A798" s="2"/>
      <c r="B798" s="15"/>
      <c r="C798" s="15"/>
      <c r="D798" s="15"/>
      <c r="E798" s="15"/>
      <c r="F798" s="15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>
      <c r="A799" s="2"/>
      <c r="B799" s="15"/>
      <c r="C799" s="15"/>
      <c r="D799" s="15"/>
      <c r="E799" s="15"/>
      <c r="F799" s="15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>
      <c r="A800" s="2"/>
      <c r="B800" s="15"/>
      <c r="C800" s="15"/>
      <c r="D800" s="15"/>
      <c r="E800" s="15"/>
      <c r="F800" s="15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>
      <c r="A801" s="2"/>
      <c r="B801" s="15"/>
      <c r="C801" s="15"/>
      <c r="D801" s="15"/>
      <c r="E801" s="15"/>
      <c r="F801" s="15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>
      <c r="A802" s="2"/>
      <c r="B802" s="15"/>
      <c r="C802" s="15"/>
      <c r="D802" s="15"/>
      <c r="E802" s="15"/>
      <c r="F802" s="15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>
      <c r="A803" s="2"/>
      <c r="B803" s="15"/>
      <c r="C803" s="15"/>
      <c r="D803" s="15"/>
      <c r="E803" s="15"/>
      <c r="F803" s="15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>
      <c r="A804" s="2"/>
      <c r="B804" s="15"/>
      <c r="C804" s="15"/>
      <c r="D804" s="15"/>
      <c r="E804" s="15"/>
      <c r="F804" s="15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>
      <c r="A805" s="2"/>
      <c r="B805" s="15"/>
      <c r="C805" s="15"/>
      <c r="D805" s="15"/>
      <c r="E805" s="15"/>
      <c r="F805" s="15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>
      <c r="A806" s="2"/>
      <c r="B806" s="15"/>
      <c r="C806" s="15"/>
      <c r="D806" s="15"/>
      <c r="E806" s="15"/>
      <c r="F806" s="15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>
      <c r="A807" s="2"/>
      <c r="B807" s="15"/>
      <c r="C807" s="15"/>
      <c r="D807" s="15"/>
      <c r="E807" s="15"/>
      <c r="F807" s="15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>
      <c r="A808" s="2"/>
      <c r="B808" s="15"/>
      <c r="C808" s="15"/>
      <c r="D808" s="15"/>
      <c r="E808" s="15"/>
      <c r="F808" s="15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>
      <c r="A809" s="2"/>
      <c r="B809" s="15"/>
      <c r="C809" s="15"/>
      <c r="D809" s="15"/>
      <c r="E809" s="15"/>
      <c r="F809" s="15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>
      <c r="A810" s="2"/>
      <c r="B810" s="15"/>
      <c r="C810" s="15"/>
      <c r="D810" s="15"/>
      <c r="E810" s="15"/>
      <c r="F810" s="15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>
      <c r="A811" s="2"/>
      <c r="B811" s="15"/>
      <c r="C811" s="15"/>
      <c r="D811" s="15"/>
      <c r="E811" s="15"/>
      <c r="F811" s="15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>
      <c r="A812" s="2"/>
      <c r="B812" s="15"/>
      <c r="C812" s="15"/>
      <c r="D812" s="15"/>
      <c r="E812" s="15"/>
      <c r="F812" s="15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>
      <c r="A813" s="2"/>
      <c r="B813" s="15"/>
      <c r="C813" s="15"/>
      <c r="D813" s="15"/>
      <c r="E813" s="15"/>
      <c r="F813" s="15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>
      <c r="A814" s="2"/>
      <c r="B814" s="15"/>
      <c r="C814" s="15"/>
      <c r="D814" s="15"/>
      <c r="E814" s="15"/>
      <c r="F814" s="15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>
      <c r="A815" s="2"/>
      <c r="B815" s="15"/>
      <c r="C815" s="15"/>
      <c r="D815" s="15"/>
      <c r="E815" s="15"/>
      <c r="F815" s="15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>
      <c r="A816" s="2"/>
      <c r="B816" s="15"/>
      <c r="C816" s="15"/>
      <c r="D816" s="15"/>
      <c r="E816" s="15"/>
      <c r="F816" s="15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>
      <c r="A817" s="2"/>
      <c r="B817" s="15"/>
      <c r="C817" s="15"/>
      <c r="D817" s="15"/>
      <c r="E817" s="15"/>
      <c r="F817" s="15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>
      <c r="A818" s="2"/>
      <c r="B818" s="15"/>
      <c r="C818" s="15"/>
      <c r="D818" s="15"/>
      <c r="E818" s="15"/>
      <c r="F818" s="15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>
      <c r="A819" s="2"/>
      <c r="B819" s="15"/>
      <c r="C819" s="15"/>
      <c r="D819" s="15"/>
      <c r="E819" s="15"/>
      <c r="F819" s="15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>
      <c r="A820" s="2"/>
      <c r="B820" s="15"/>
      <c r="C820" s="15"/>
      <c r="D820" s="15"/>
      <c r="E820" s="15"/>
      <c r="F820" s="15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>
      <c r="A821" s="2"/>
      <c r="B821" s="15"/>
      <c r="C821" s="15"/>
      <c r="D821" s="15"/>
      <c r="E821" s="15"/>
      <c r="F821" s="15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>
      <c r="A822" s="2"/>
      <c r="B822" s="15"/>
      <c r="C822" s="15"/>
      <c r="D822" s="15"/>
      <c r="E822" s="15"/>
      <c r="F822" s="15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>
      <c r="A823" s="2"/>
      <c r="B823" s="15"/>
      <c r="C823" s="15"/>
      <c r="D823" s="15"/>
      <c r="E823" s="15"/>
      <c r="F823" s="15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>
      <c r="A824" s="2"/>
      <c r="B824" s="15"/>
      <c r="C824" s="15"/>
      <c r="D824" s="15"/>
      <c r="E824" s="15"/>
      <c r="F824" s="15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>
      <c r="A825" s="2"/>
      <c r="B825" s="15"/>
      <c r="C825" s="15"/>
      <c r="D825" s="15"/>
      <c r="E825" s="15"/>
      <c r="F825" s="15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>
      <c r="A826" s="2"/>
      <c r="B826" s="15"/>
      <c r="C826" s="15"/>
      <c r="D826" s="15"/>
      <c r="E826" s="15"/>
      <c r="F826" s="15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>
      <c r="A827" s="2"/>
      <c r="B827" s="15"/>
      <c r="C827" s="15"/>
      <c r="D827" s="15"/>
      <c r="E827" s="15"/>
      <c r="F827" s="15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>
      <c r="A828" s="2"/>
      <c r="B828" s="15"/>
      <c r="C828" s="15"/>
      <c r="D828" s="15"/>
      <c r="E828" s="15"/>
      <c r="F828" s="15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>
      <c r="A829" s="2"/>
      <c r="B829" s="15"/>
      <c r="C829" s="15"/>
      <c r="D829" s="15"/>
      <c r="E829" s="15"/>
      <c r="F829" s="15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>
      <c r="A830" s="2"/>
      <c r="B830" s="15"/>
      <c r="C830" s="15"/>
      <c r="D830" s="15"/>
      <c r="E830" s="15"/>
      <c r="F830" s="15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>
      <c r="A831" s="2"/>
      <c r="B831" s="15"/>
      <c r="C831" s="15"/>
      <c r="D831" s="15"/>
      <c r="E831" s="15"/>
      <c r="F831" s="15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>
      <c r="A832" s="2"/>
      <c r="B832" s="15"/>
      <c r="C832" s="15"/>
      <c r="D832" s="15"/>
      <c r="E832" s="15"/>
      <c r="F832" s="15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>
      <c r="A833" s="2"/>
      <c r="B833" s="15"/>
      <c r="C833" s="15"/>
      <c r="D833" s="15"/>
      <c r="E833" s="15"/>
      <c r="F833" s="15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>
      <c r="A834" s="2"/>
      <c r="B834" s="15"/>
      <c r="C834" s="15"/>
      <c r="D834" s="15"/>
      <c r="E834" s="15"/>
      <c r="F834" s="15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>
      <c r="A835" s="2"/>
      <c r="B835" s="15"/>
      <c r="C835" s="15"/>
      <c r="D835" s="15"/>
      <c r="E835" s="15"/>
      <c r="F835" s="15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>
      <c r="A836" s="2"/>
      <c r="B836" s="15"/>
      <c r="C836" s="15"/>
      <c r="D836" s="15"/>
      <c r="E836" s="15"/>
      <c r="F836" s="15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>
      <c r="A837" s="2"/>
      <c r="B837" s="15"/>
      <c r="C837" s="15"/>
      <c r="D837" s="15"/>
      <c r="E837" s="15"/>
      <c r="F837" s="15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>
      <c r="A838" s="2"/>
      <c r="B838" s="15"/>
      <c r="C838" s="15"/>
      <c r="D838" s="15"/>
      <c r="E838" s="15"/>
      <c r="F838" s="15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>
      <c r="A839" s="2"/>
      <c r="B839" s="15"/>
      <c r="C839" s="15"/>
      <c r="D839" s="15"/>
      <c r="E839" s="15"/>
      <c r="F839" s="15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>
      <c r="A840" s="2"/>
      <c r="B840" s="15"/>
      <c r="C840" s="15"/>
      <c r="D840" s="15"/>
      <c r="E840" s="15"/>
      <c r="F840" s="15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>
      <c r="A841" s="2"/>
      <c r="B841" s="15"/>
      <c r="C841" s="15"/>
      <c r="D841" s="15"/>
      <c r="E841" s="15"/>
      <c r="F841" s="15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>
      <c r="A842" s="2"/>
      <c r="B842" s="15"/>
      <c r="C842" s="15"/>
      <c r="D842" s="15"/>
      <c r="E842" s="15"/>
      <c r="F842" s="15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>
      <c r="A843" s="2"/>
      <c r="B843" s="15"/>
      <c r="C843" s="15"/>
      <c r="D843" s="15"/>
      <c r="E843" s="15"/>
      <c r="F843" s="15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>
      <c r="A844" s="2"/>
      <c r="B844" s="15"/>
      <c r="C844" s="15"/>
      <c r="D844" s="15"/>
      <c r="E844" s="15"/>
      <c r="F844" s="15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>
      <c r="A845" s="2"/>
      <c r="B845" s="15"/>
      <c r="C845" s="15"/>
      <c r="D845" s="15"/>
      <c r="E845" s="15"/>
      <c r="F845" s="15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>
      <c r="A846" s="2"/>
      <c r="B846" s="15"/>
      <c r="C846" s="15"/>
      <c r="D846" s="15"/>
      <c r="E846" s="15"/>
      <c r="F846" s="15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>
      <c r="A847" s="2"/>
      <c r="B847" s="15"/>
      <c r="C847" s="15"/>
      <c r="D847" s="15"/>
      <c r="E847" s="15"/>
      <c r="F847" s="15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>
      <c r="A848" s="2"/>
      <c r="B848" s="15"/>
      <c r="C848" s="15"/>
      <c r="D848" s="15"/>
      <c r="E848" s="15"/>
      <c r="F848" s="15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>
      <c r="A849" s="2"/>
      <c r="B849" s="15"/>
      <c r="C849" s="15"/>
      <c r="D849" s="15"/>
      <c r="E849" s="15"/>
      <c r="F849" s="15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>
      <c r="A850" s="2"/>
      <c r="B850" s="15"/>
      <c r="C850" s="15"/>
      <c r="D850" s="15"/>
      <c r="E850" s="15"/>
      <c r="F850" s="15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>
      <c r="A851" s="2"/>
      <c r="B851" s="15"/>
      <c r="C851" s="15"/>
      <c r="D851" s="15"/>
      <c r="E851" s="15"/>
      <c r="F851" s="15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>
      <c r="A852" s="2"/>
      <c r="B852" s="15"/>
      <c r="C852" s="15"/>
      <c r="D852" s="15"/>
      <c r="E852" s="15"/>
      <c r="F852" s="15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>
      <c r="A853" s="2"/>
      <c r="B853" s="15"/>
      <c r="C853" s="15"/>
      <c r="D853" s="15"/>
      <c r="E853" s="15"/>
      <c r="F853" s="15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>
      <c r="A854" s="2"/>
      <c r="B854" s="15"/>
      <c r="C854" s="15"/>
      <c r="D854" s="15"/>
      <c r="E854" s="15"/>
      <c r="F854" s="15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>
      <c r="A855" s="2"/>
      <c r="B855" s="15"/>
      <c r="C855" s="15"/>
      <c r="D855" s="15"/>
      <c r="E855" s="15"/>
      <c r="F855" s="15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>
      <c r="A856" s="2"/>
      <c r="B856" s="15"/>
      <c r="C856" s="15"/>
      <c r="D856" s="15"/>
      <c r="E856" s="15"/>
      <c r="F856" s="15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>
      <c r="A857" s="2"/>
      <c r="B857" s="15"/>
      <c r="C857" s="15"/>
      <c r="D857" s="15"/>
      <c r="E857" s="15"/>
      <c r="F857" s="15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>
      <c r="A858" s="2"/>
      <c r="B858" s="15"/>
      <c r="C858" s="15"/>
      <c r="D858" s="15"/>
      <c r="E858" s="15"/>
      <c r="F858" s="15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>
      <c r="A859" s="2"/>
      <c r="B859" s="15"/>
      <c r="C859" s="15"/>
      <c r="D859" s="15"/>
      <c r="E859" s="15"/>
      <c r="F859" s="15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>
      <c r="A860" s="2"/>
      <c r="B860" s="15"/>
      <c r="C860" s="15"/>
      <c r="D860" s="15"/>
      <c r="E860" s="15"/>
      <c r="F860" s="15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>
      <c r="A861" s="2"/>
      <c r="B861" s="15"/>
      <c r="C861" s="15"/>
      <c r="D861" s="15"/>
      <c r="E861" s="15"/>
      <c r="F861" s="15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>
      <c r="A862" s="2"/>
      <c r="B862" s="15"/>
      <c r="C862" s="15"/>
      <c r="D862" s="15"/>
      <c r="E862" s="15"/>
      <c r="F862" s="15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>
      <c r="A863" s="2"/>
      <c r="B863" s="15"/>
      <c r="C863" s="15"/>
      <c r="D863" s="15"/>
      <c r="E863" s="15"/>
      <c r="F863" s="15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>
      <c r="A864" s="2"/>
      <c r="B864" s="15"/>
      <c r="C864" s="15"/>
      <c r="D864" s="15"/>
      <c r="E864" s="15"/>
      <c r="F864" s="15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>
      <c r="A865" s="2"/>
      <c r="B865" s="15"/>
      <c r="C865" s="15"/>
      <c r="D865" s="15"/>
      <c r="E865" s="15"/>
      <c r="F865" s="15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>
      <c r="A866" s="2"/>
      <c r="B866" s="15"/>
      <c r="C866" s="15"/>
      <c r="D866" s="15"/>
      <c r="E866" s="15"/>
      <c r="F866" s="15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>
      <c r="A867" s="2"/>
      <c r="B867" s="15"/>
      <c r="C867" s="15"/>
      <c r="D867" s="15"/>
      <c r="E867" s="15"/>
      <c r="F867" s="15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>
      <c r="A868" s="2"/>
      <c r="B868" s="15"/>
      <c r="C868" s="15"/>
      <c r="D868" s="15"/>
      <c r="E868" s="15"/>
      <c r="F868" s="15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>
      <c r="A869" s="2"/>
      <c r="B869" s="15"/>
      <c r="C869" s="15"/>
      <c r="D869" s="15"/>
      <c r="E869" s="15"/>
      <c r="F869" s="15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>
      <c r="A870" s="2"/>
      <c r="B870" s="15"/>
      <c r="C870" s="15"/>
      <c r="D870" s="15"/>
      <c r="E870" s="15"/>
      <c r="F870" s="15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>
      <c r="A871" s="2"/>
      <c r="B871" s="15"/>
      <c r="C871" s="15"/>
      <c r="D871" s="15"/>
      <c r="E871" s="15"/>
      <c r="F871" s="15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>
      <c r="A872" s="2"/>
      <c r="B872" s="15"/>
      <c r="C872" s="15"/>
      <c r="D872" s="15"/>
      <c r="E872" s="15"/>
      <c r="F872" s="15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>
      <c r="A873" s="2"/>
      <c r="B873" s="15"/>
      <c r="C873" s="15"/>
      <c r="D873" s="15"/>
      <c r="E873" s="15"/>
      <c r="F873" s="15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>
      <c r="A874" s="2"/>
      <c r="B874" s="15"/>
      <c r="C874" s="15"/>
      <c r="D874" s="15"/>
      <c r="E874" s="15"/>
      <c r="F874" s="15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>
      <c r="A875" s="2"/>
      <c r="B875" s="15"/>
      <c r="C875" s="15"/>
      <c r="D875" s="15"/>
      <c r="E875" s="15"/>
      <c r="F875" s="15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>
      <c r="A876" s="2"/>
      <c r="B876" s="15"/>
      <c r="C876" s="15"/>
      <c r="D876" s="15"/>
      <c r="E876" s="15"/>
      <c r="F876" s="15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>
      <c r="A877" s="2"/>
      <c r="B877" s="15"/>
      <c r="C877" s="15"/>
      <c r="D877" s="15"/>
      <c r="E877" s="15"/>
      <c r="F877" s="15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>
      <c r="A878" s="2"/>
      <c r="B878" s="15"/>
      <c r="C878" s="15"/>
      <c r="D878" s="15"/>
      <c r="E878" s="15"/>
      <c r="F878" s="15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>
      <c r="A879" s="2"/>
      <c r="B879" s="15"/>
      <c r="C879" s="15"/>
      <c r="D879" s="15"/>
      <c r="E879" s="15"/>
      <c r="F879" s="15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>
      <c r="A880" s="2"/>
      <c r="B880" s="15"/>
      <c r="C880" s="15"/>
      <c r="D880" s="15"/>
      <c r="E880" s="15"/>
      <c r="F880" s="15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>
      <c r="A881" s="2"/>
      <c r="B881" s="15"/>
      <c r="C881" s="15"/>
      <c r="D881" s="15"/>
      <c r="E881" s="15"/>
      <c r="F881" s="15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>
      <c r="A882" s="2"/>
      <c r="B882" s="15"/>
      <c r="C882" s="15"/>
      <c r="D882" s="15"/>
      <c r="E882" s="15"/>
      <c r="F882" s="15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>
      <c r="A883" s="2"/>
      <c r="B883" s="15"/>
      <c r="C883" s="15"/>
      <c r="D883" s="15"/>
      <c r="E883" s="15"/>
      <c r="F883" s="15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>
      <c r="A884" s="2"/>
      <c r="B884" s="15"/>
      <c r="C884" s="15"/>
      <c r="D884" s="15"/>
      <c r="E884" s="15"/>
      <c r="F884" s="15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>
      <c r="A885" s="2"/>
      <c r="B885" s="15"/>
      <c r="C885" s="15"/>
      <c r="D885" s="15"/>
      <c r="E885" s="15"/>
      <c r="F885" s="15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>
      <c r="A886" s="2"/>
      <c r="B886" s="15"/>
      <c r="C886" s="15"/>
      <c r="D886" s="15"/>
      <c r="E886" s="15"/>
      <c r="F886" s="15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>
      <c r="A887" s="2"/>
      <c r="B887" s="15"/>
      <c r="C887" s="15"/>
      <c r="D887" s="15"/>
      <c r="E887" s="15"/>
      <c r="F887" s="15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>
      <c r="A888" s="2"/>
      <c r="B888" s="15"/>
      <c r="C888" s="15"/>
      <c r="D888" s="15"/>
      <c r="E888" s="15"/>
      <c r="F888" s="15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>
      <c r="A889" s="2"/>
      <c r="B889" s="15"/>
      <c r="C889" s="15"/>
      <c r="D889" s="15"/>
      <c r="E889" s="15"/>
      <c r="F889" s="15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>
      <c r="A890" s="2"/>
      <c r="B890" s="15"/>
      <c r="C890" s="15"/>
      <c r="D890" s="15"/>
      <c r="E890" s="15"/>
      <c r="F890" s="15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>
      <c r="A891" s="2"/>
      <c r="B891" s="15"/>
      <c r="C891" s="15"/>
      <c r="D891" s="15"/>
      <c r="E891" s="15"/>
      <c r="F891" s="15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>
      <c r="A892" s="2"/>
      <c r="B892" s="15"/>
      <c r="C892" s="15"/>
      <c r="D892" s="15"/>
      <c r="E892" s="15"/>
      <c r="F892" s="15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>
      <c r="A893" s="2"/>
      <c r="B893" s="15"/>
      <c r="C893" s="15"/>
      <c r="D893" s="15"/>
      <c r="E893" s="15"/>
      <c r="F893" s="15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>
      <c r="A894" s="2"/>
      <c r="B894" s="15"/>
      <c r="C894" s="15"/>
      <c r="D894" s="15"/>
      <c r="E894" s="15"/>
      <c r="F894" s="15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>
      <c r="A895" s="2"/>
      <c r="B895" s="15"/>
      <c r="C895" s="15"/>
      <c r="D895" s="15"/>
      <c r="E895" s="15"/>
      <c r="F895" s="15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>
      <c r="A896" s="2"/>
      <c r="B896" s="15"/>
      <c r="C896" s="15"/>
      <c r="D896" s="15"/>
      <c r="E896" s="15"/>
      <c r="F896" s="15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>
      <c r="A897" s="2"/>
      <c r="B897" s="15"/>
      <c r="C897" s="15"/>
      <c r="D897" s="15"/>
      <c r="E897" s="15"/>
      <c r="F897" s="15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>
      <c r="A898" s="2"/>
      <c r="B898" s="15"/>
      <c r="C898" s="15"/>
      <c r="D898" s="15"/>
      <c r="E898" s="15"/>
      <c r="F898" s="15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>
      <c r="A899" s="2"/>
      <c r="B899" s="15"/>
      <c r="C899" s="15"/>
      <c r="D899" s="15"/>
      <c r="E899" s="15"/>
      <c r="F899" s="15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>
      <c r="A900" s="2"/>
      <c r="B900" s="15"/>
      <c r="C900" s="15"/>
      <c r="D900" s="15"/>
      <c r="E900" s="15"/>
      <c r="F900" s="15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>
      <c r="A901" s="2"/>
      <c r="B901" s="15"/>
      <c r="C901" s="15"/>
      <c r="D901" s="15"/>
      <c r="E901" s="15"/>
      <c r="F901" s="15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>
      <c r="A902" s="2"/>
      <c r="B902" s="15"/>
      <c r="C902" s="15"/>
      <c r="D902" s="15"/>
      <c r="E902" s="15"/>
      <c r="F902" s="15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>
      <c r="A903" s="2"/>
      <c r="B903" s="15"/>
      <c r="C903" s="15"/>
      <c r="D903" s="15"/>
      <c r="E903" s="15"/>
      <c r="F903" s="15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>
      <c r="A904" s="2"/>
      <c r="B904" s="15"/>
      <c r="C904" s="15"/>
      <c r="D904" s="15"/>
      <c r="E904" s="15"/>
      <c r="F904" s="15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>
      <c r="A905" s="2"/>
      <c r="B905" s="15"/>
      <c r="C905" s="15"/>
      <c r="D905" s="15"/>
      <c r="E905" s="15"/>
      <c r="F905" s="15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>
      <c r="A906" s="2"/>
      <c r="B906" s="15"/>
      <c r="C906" s="15"/>
      <c r="D906" s="15"/>
      <c r="E906" s="15"/>
      <c r="F906" s="15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>
      <c r="A907" s="2"/>
      <c r="B907" s="15"/>
      <c r="C907" s="15"/>
      <c r="D907" s="15"/>
      <c r="E907" s="15"/>
      <c r="F907" s="15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>
      <c r="A908" s="2"/>
      <c r="B908" s="15"/>
      <c r="C908" s="15"/>
      <c r="D908" s="15"/>
      <c r="E908" s="15"/>
      <c r="F908" s="15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>
      <c r="A909" s="2"/>
      <c r="B909" s="15"/>
      <c r="C909" s="15"/>
      <c r="D909" s="15"/>
      <c r="E909" s="15"/>
      <c r="F909" s="15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>
      <c r="A910" s="2"/>
      <c r="B910" s="15"/>
      <c r="C910" s="15"/>
      <c r="D910" s="15"/>
      <c r="E910" s="15"/>
      <c r="F910" s="15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>
      <c r="A911" s="2"/>
      <c r="B911" s="15"/>
      <c r="C911" s="15"/>
      <c r="D911" s="15"/>
      <c r="E911" s="15"/>
      <c r="F911" s="15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>
      <c r="A912" s="2"/>
      <c r="B912" s="15"/>
      <c r="C912" s="15"/>
      <c r="D912" s="15"/>
      <c r="E912" s="15"/>
      <c r="F912" s="15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>
      <c r="A913" s="2"/>
      <c r="B913" s="15"/>
      <c r="C913" s="15"/>
      <c r="D913" s="15"/>
      <c r="E913" s="15"/>
      <c r="F913" s="15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>
      <c r="A914" s="2"/>
      <c r="B914" s="15"/>
      <c r="C914" s="15"/>
      <c r="D914" s="15"/>
      <c r="E914" s="15"/>
      <c r="F914" s="15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>
      <c r="A915" s="2"/>
      <c r="B915" s="15"/>
      <c r="C915" s="15"/>
      <c r="D915" s="15"/>
      <c r="E915" s="15"/>
      <c r="F915" s="15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>
      <c r="A916" s="2"/>
      <c r="B916" s="15"/>
      <c r="C916" s="15"/>
      <c r="D916" s="15"/>
      <c r="E916" s="15"/>
      <c r="F916" s="15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>
      <c r="A917" s="2"/>
      <c r="B917" s="15"/>
      <c r="C917" s="15"/>
      <c r="D917" s="15"/>
      <c r="E917" s="15"/>
      <c r="F917" s="15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>
      <c r="A918" s="2"/>
      <c r="B918" s="15"/>
      <c r="C918" s="15"/>
      <c r="D918" s="15"/>
      <c r="E918" s="15"/>
      <c r="F918" s="15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>
      <c r="A919" s="2"/>
      <c r="B919" s="15"/>
      <c r="C919" s="15"/>
      <c r="D919" s="15"/>
      <c r="E919" s="15"/>
      <c r="F919" s="15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>
      <c r="A920" s="2"/>
      <c r="B920" s="15"/>
      <c r="C920" s="15"/>
      <c r="D920" s="15"/>
      <c r="E920" s="15"/>
      <c r="F920" s="15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>
      <c r="A921" s="2"/>
      <c r="B921" s="15"/>
      <c r="C921" s="15"/>
      <c r="D921" s="15"/>
      <c r="E921" s="15"/>
      <c r="F921" s="15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>
      <c r="A922" s="2"/>
      <c r="B922" s="15"/>
      <c r="C922" s="15"/>
      <c r="D922" s="15"/>
      <c r="E922" s="15"/>
      <c r="F922" s="15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>
      <c r="A923" s="2"/>
      <c r="B923" s="15"/>
      <c r="C923" s="15"/>
      <c r="D923" s="15"/>
      <c r="E923" s="15"/>
      <c r="F923" s="15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>
      <c r="A924" s="2"/>
      <c r="B924" s="15"/>
      <c r="C924" s="15"/>
      <c r="D924" s="15"/>
      <c r="E924" s="15"/>
      <c r="F924" s="15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>
      <c r="A925" s="2"/>
      <c r="B925" s="15"/>
      <c r="C925" s="15"/>
      <c r="D925" s="15"/>
      <c r="E925" s="15"/>
      <c r="F925" s="15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>
      <c r="A926" s="2"/>
      <c r="B926" s="15"/>
      <c r="C926" s="15"/>
      <c r="D926" s="15"/>
      <c r="E926" s="15"/>
      <c r="F926" s="15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>
      <c r="A927" s="2"/>
      <c r="B927" s="15"/>
      <c r="C927" s="15"/>
      <c r="D927" s="15"/>
      <c r="E927" s="15"/>
      <c r="F927" s="15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>
      <c r="A928" s="2"/>
      <c r="B928" s="15"/>
      <c r="C928" s="15"/>
      <c r="D928" s="15"/>
      <c r="E928" s="15"/>
      <c r="F928" s="15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>
      <c r="A929" s="2"/>
      <c r="B929" s="15"/>
      <c r="C929" s="15"/>
      <c r="D929" s="15"/>
      <c r="E929" s="15"/>
      <c r="F929" s="15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>
      <c r="A930" s="2"/>
      <c r="B930" s="15"/>
      <c r="C930" s="15"/>
      <c r="D930" s="15"/>
      <c r="E930" s="15"/>
      <c r="F930" s="15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>
      <c r="A931" s="2"/>
      <c r="B931" s="15"/>
      <c r="C931" s="15"/>
      <c r="D931" s="15"/>
      <c r="E931" s="15"/>
      <c r="F931" s="15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>
      <c r="A932" s="2"/>
      <c r="B932" s="15"/>
      <c r="C932" s="15"/>
      <c r="D932" s="15"/>
      <c r="E932" s="15"/>
      <c r="F932" s="15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>
      <c r="A933" s="2"/>
      <c r="B933" s="15"/>
      <c r="C933" s="15"/>
      <c r="D933" s="15"/>
      <c r="E933" s="15"/>
      <c r="F933" s="15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>
      <c r="A934" s="2"/>
      <c r="B934" s="15"/>
      <c r="C934" s="15"/>
      <c r="D934" s="15"/>
      <c r="E934" s="15"/>
      <c r="F934" s="15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>
      <c r="A935" s="2"/>
      <c r="B935" s="15"/>
      <c r="C935" s="15"/>
      <c r="D935" s="15"/>
      <c r="E935" s="15"/>
      <c r="F935" s="15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>
      <c r="A936" s="2"/>
      <c r="B936" s="15"/>
      <c r="C936" s="15"/>
      <c r="D936" s="15"/>
      <c r="E936" s="15"/>
      <c r="F936" s="15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>
      <c r="A937" s="2"/>
      <c r="B937" s="15"/>
      <c r="C937" s="15"/>
      <c r="D937" s="15"/>
      <c r="E937" s="15"/>
      <c r="F937" s="15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>
      <c r="A938" s="2"/>
      <c r="B938" s="15"/>
      <c r="C938" s="15"/>
      <c r="D938" s="15"/>
      <c r="E938" s="15"/>
      <c r="F938" s="15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>
      <c r="A939" s="2"/>
      <c r="B939" s="15"/>
      <c r="C939" s="15"/>
      <c r="D939" s="15"/>
      <c r="E939" s="15"/>
      <c r="F939" s="15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>
      <c r="A940" s="2"/>
      <c r="B940" s="15"/>
      <c r="C940" s="15"/>
      <c r="D940" s="15"/>
      <c r="E940" s="15"/>
      <c r="F940" s="15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>
      <c r="A941" s="2"/>
      <c r="B941" s="15"/>
      <c r="C941" s="15"/>
      <c r="D941" s="15"/>
      <c r="E941" s="15"/>
      <c r="F941" s="15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>
      <c r="A942" s="2"/>
      <c r="B942" s="15"/>
      <c r="C942" s="15"/>
      <c r="D942" s="15"/>
      <c r="E942" s="15"/>
      <c r="F942" s="15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>
      <c r="A943" s="2"/>
      <c r="B943" s="15"/>
      <c r="C943" s="15"/>
      <c r="D943" s="15"/>
      <c r="E943" s="15"/>
      <c r="F943" s="15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>
      <c r="A944" s="2"/>
      <c r="B944" s="15"/>
      <c r="C944" s="15"/>
      <c r="D944" s="15"/>
      <c r="E944" s="15"/>
      <c r="F944" s="15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>
      <c r="A945" s="2"/>
      <c r="B945" s="15"/>
      <c r="C945" s="15"/>
      <c r="D945" s="15"/>
      <c r="E945" s="15"/>
      <c r="F945" s="15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>
      <c r="A946" s="2"/>
      <c r="B946" s="15"/>
      <c r="C946" s="15"/>
      <c r="D946" s="15"/>
      <c r="E946" s="15"/>
      <c r="F946" s="15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>
      <c r="A947" s="2"/>
      <c r="B947" s="15"/>
      <c r="C947" s="15"/>
      <c r="D947" s="15"/>
      <c r="E947" s="15"/>
      <c r="F947" s="15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>
      <c r="A948" s="2"/>
      <c r="B948" s="15"/>
      <c r="C948" s="15"/>
      <c r="D948" s="15"/>
      <c r="E948" s="15"/>
      <c r="F948" s="15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>
      <c r="A949" s="2"/>
      <c r="B949" s="15"/>
      <c r="C949" s="15"/>
      <c r="D949" s="15"/>
      <c r="E949" s="15"/>
      <c r="F949" s="15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>
      <c r="A950" s="2"/>
      <c r="B950" s="15"/>
      <c r="C950" s="15"/>
      <c r="D950" s="15"/>
      <c r="E950" s="15"/>
      <c r="F950" s="15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>
      <c r="A951" s="2"/>
      <c r="B951" s="15"/>
      <c r="C951" s="15"/>
      <c r="D951" s="15"/>
      <c r="E951" s="15"/>
      <c r="F951" s="15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>
      <c r="A952" s="2"/>
      <c r="B952" s="15"/>
      <c r="C952" s="15"/>
      <c r="D952" s="15"/>
      <c r="E952" s="15"/>
      <c r="F952" s="15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>
      <c r="A953" s="2"/>
      <c r="B953" s="15"/>
      <c r="C953" s="15"/>
      <c r="D953" s="15"/>
      <c r="E953" s="15"/>
      <c r="F953" s="15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>
      <c r="A954" s="2"/>
      <c r="B954" s="15"/>
      <c r="C954" s="15"/>
      <c r="D954" s="15"/>
      <c r="E954" s="15"/>
      <c r="F954" s="15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>
      <c r="A955" s="2"/>
      <c r="B955" s="15"/>
      <c r="C955" s="15"/>
      <c r="D955" s="15"/>
      <c r="E955" s="15"/>
      <c r="F955" s="15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>
      <c r="A956" s="2"/>
      <c r="B956" s="15"/>
      <c r="C956" s="15"/>
      <c r="D956" s="15"/>
      <c r="E956" s="15"/>
      <c r="F956" s="15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>
      <c r="A957" s="2"/>
      <c r="B957" s="15"/>
      <c r="C957" s="15"/>
      <c r="D957" s="15"/>
      <c r="E957" s="15"/>
      <c r="F957" s="15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>
      <c r="A958" s="2"/>
      <c r="B958" s="15"/>
      <c r="C958" s="15"/>
      <c r="D958" s="15"/>
      <c r="E958" s="15"/>
      <c r="F958" s="15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>
      <c r="A959" s="2"/>
      <c r="B959" s="15"/>
      <c r="C959" s="15"/>
      <c r="D959" s="15"/>
      <c r="E959" s="15"/>
      <c r="F959" s="15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>
      <c r="A960" s="2"/>
      <c r="B960" s="15"/>
      <c r="C960" s="15"/>
      <c r="D960" s="15"/>
      <c r="E960" s="15"/>
      <c r="F960" s="15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>
      <c r="A961" s="2"/>
      <c r="B961" s="15"/>
      <c r="C961" s="15"/>
      <c r="D961" s="15"/>
      <c r="E961" s="15"/>
      <c r="F961" s="15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>
      <c r="A962" s="2"/>
      <c r="B962" s="15"/>
      <c r="C962" s="15"/>
      <c r="D962" s="15"/>
      <c r="E962" s="15"/>
      <c r="F962" s="15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>
      <c r="A963" s="2"/>
      <c r="B963" s="15"/>
      <c r="C963" s="15"/>
      <c r="D963" s="15"/>
      <c r="E963" s="15"/>
      <c r="F963" s="15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>
      <c r="A964" s="2"/>
      <c r="B964" s="15"/>
      <c r="C964" s="15"/>
      <c r="D964" s="15"/>
      <c r="E964" s="15"/>
      <c r="F964" s="15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>
      <c r="A965" s="2"/>
      <c r="B965" s="15"/>
      <c r="C965" s="15"/>
      <c r="D965" s="15"/>
      <c r="E965" s="15"/>
      <c r="F965" s="15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5.75" customHeight="1">
      <c r="A966" s="2"/>
      <c r="B966" s="15"/>
      <c r="C966" s="15"/>
      <c r="D966" s="15"/>
      <c r="E966" s="15"/>
      <c r="F966" s="15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5.75" customHeight="1">
      <c r="A967" s="2"/>
      <c r="B967" s="15"/>
      <c r="C967" s="15"/>
      <c r="D967" s="15"/>
      <c r="E967" s="15"/>
      <c r="F967" s="15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5.75" customHeight="1">
      <c r="A968" s="2"/>
      <c r="B968" s="15"/>
      <c r="C968" s="15"/>
      <c r="D968" s="15"/>
      <c r="E968" s="15"/>
      <c r="F968" s="15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5.75" customHeight="1">
      <c r="A969" s="2"/>
      <c r="B969" s="15"/>
      <c r="C969" s="15"/>
      <c r="D969" s="15"/>
      <c r="E969" s="15"/>
      <c r="F969" s="15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5.75" customHeight="1">
      <c r="A970" s="2"/>
      <c r="B970" s="15"/>
      <c r="C970" s="15"/>
      <c r="D970" s="15"/>
      <c r="E970" s="15"/>
      <c r="F970" s="15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5.75" customHeight="1">
      <c r="A971" s="2"/>
      <c r="B971" s="15"/>
      <c r="C971" s="15"/>
      <c r="D971" s="15"/>
      <c r="E971" s="15"/>
      <c r="F971" s="15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5.75" customHeight="1">
      <c r="A972" s="2"/>
      <c r="B972" s="15"/>
      <c r="C972" s="15"/>
      <c r="D972" s="15"/>
      <c r="E972" s="15"/>
      <c r="F972" s="15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5.75" customHeight="1">
      <c r="A973" s="2"/>
      <c r="B973" s="15"/>
      <c r="C973" s="15"/>
      <c r="D973" s="15"/>
      <c r="E973" s="15"/>
      <c r="F973" s="15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5.75" customHeight="1">
      <c r="A974" s="2"/>
      <c r="B974" s="15"/>
      <c r="C974" s="15"/>
      <c r="D974" s="15"/>
      <c r="E974" s="15"/>
      <c r="F974" s="15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5.75" customHeight="1">
      <c r="A975" s="2"/>
      <c r="B975" s="15"/>
      <c r="C975" s="15"/>
      <c r="D975" s="15"/>
      <c r="E975" s="15"/>
      <c r="F975" s="15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5.75" customHeight="1">
      <c r="A976" s="2"/>
      <c r="B976" s="15"/>
      <c r="C976" s="15"/>
      <c r="D976" s="15"/>
      <c r="E976" s="15"/>
      <c r="F976" s="15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5.75" customHeight="1">
      <c r="A977" s="2"/>
      <c r="B977" s="15"/>
      <c r="C977" s="15"/>
      <c r="D977" s="15"/>
      <c r="E977" s="15"/>
      <c r="F977" s="15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5.75" customHeight="1">
      <c r="A978" s="2"/>
      <c r="B978" s="15"/>
      <c r="C978" s="15"/>
      <c r="D978" s="15"/>
      <c r="E978" s="15"/>
      <c r="F978" s="15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5.75" customHeight="1">
      <c r="A979" s="2"/>
      <c r="B979" s="15"/>
      <c r="C979" s="15"/>
      <c r="D979" s="15"/>
      <c r="E979" s="15"/>
      <c r="F979" s="15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5.75" customHeight="1">
      <c r="A980" s="2"/>
      <c r="B980" s="15"/>
      <c r="C980" s="15"/>
      <c r="D980" s="15"/>
      <c r="E980" s="15"/>
      <c r="F980" s="15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5.75" customHeight="1">
      <c r="A981" s="2"/>
      <c r="B981" s="15"/>
      <c r="C981" s="15"/>
      <c r="D981" s="15"/>
      <c r="E981" s="15"/>
      <c r="F981" s="15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5.75" customHeight="1">
      <c r="A982" s="2"/>
      <c r="B982" s="15"/>
      <c r="C982" s="15"/>
      <c r="D982" s="15"/>
      <c r="E982" s="15"/>
      <c r="F982" s="15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5.75" customHeight="1">
      <c r="A983" s="2"/>
      <c r="B983" s="15"/>
      <c r="C983" s="15"/>
      <c r="D983" s="15"/>
      <c r="E983" s="15"/>
      <c r="F983" s="15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5.75" customHeight="1">
      <c r="A984" s="2"/>
      <c r="B984" s="15"/>
      <c r="C984" s="15"/>
      <c r="D984" s="15"/>
      <c r="E984" s="15"/>
      <c r="F984" s="15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5.75" customHeight="1">
      <c r="A985" s="2"/>
      <c r="B985" s="15"/>
      <c r="C985" s="15"/>
      <c r="D985" s="15"/>
      <c r="E985" s="15"/>
      <c r="F985" s="15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5.75" customHeight="1">
      <c r="A986" s="2"/>
      <c r="B986" s="15"/>
      <c r="C986" s="15"/>
      <c r="D986" s="15"/>
      <c r="E986" s="15"/>
      <c r="F986" s="15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5.75" customHeight="1">
      <c r="A987" s="2"/>
      <c r="B987" s="15"/>
      <c r="C987" s="15"/>
      <c r="D987" s="15"/>
      <c r="E987" s="15"/>
      <c r="F987" s="15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5.75" customHeight="1">
      <c r="A988" s="2"/>
      <c r="B988" s="15"/>
      <c r="C988" s="15"/>
      <c r="D988" s="15"/>
      <c r="E988" s="15"/>
      <c r="F988" s="15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5.75" customHeight="1">
      <c r="A989" s="2"/>
      <c r="B989" s="15"/>
      <c r="C989" s="15"/>
      <c r="D989" s="15"/>
      <c r="E989" s="15"/>
      <c r="F989" s="15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5.75" customHeight="1">
      <c r="A990" s="2"/>
      <c r="B990" s="15"/>
      <c r="C990" s="15"/>
      <c r="D990" s="15"/>
      <c r="E990" s="15"/>
      <c r="F990" s="15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5.75" customHeight="1">
      <c r="A991" s="2"/>
      <c r="B991" s="15"/>
      <c r="C991" s="15"/>
      <c r="D991" s="15"/>
      <c r="E991" s="15"/>
      <c r="F991" s="15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5.75" customHeight="1">
      <c r="A992" s="2"/>
      <c r="B992" s="15"/>
      <c r="C992" s="15"/>
      <c r="D992" s="15"/>
      <c r="E992" s="15"/>
      <c r="F992" s="15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5.75" customHeight="1">
      <c r="A993" s="2"/>
      <c r="B993" s="15"/>
      <c r="C993" s="15"/>
      <c r="D993" s="15"/>
      <c r="E993" s="15"/>
      <c r="F993" s="15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5.75" customHeight="1">
      <c r="A994" s="2"/>
      <c r="B994" s="15"/>
      <c r="C994" s="15"/>
      <c r="D994" s="15"/>
      <c r="E994" s="15"/>
      <c r="F994" s="15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5.75" customHeight="1">
      <c r="A995" s="2"/>
      <c r="B995" s="15"/>
      <c r="C995" s="15"/>
      <c r="D995" s="15"/>
      <c r="E995" s="15"/>
      <c r="F995" s="15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5.75" customHeight="1">
      <c r="A996" s="2"/>
      <c r="B996" s="15"/>
      <c r="C996" s="15"/>
      <c r="D996" s="15"/>
      <c r="E996" s="15"/>
      <c r="F996" s="15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5.75" customHeight="1">
      <c r="A997" s="2"/>
      <c r="B997" s="15"/>
      <c r="C997" s="15"/>
      <c r="D997" s="15"/>
      <c r="E997" s="15"/>
      <c r="F997" s="15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5.75" customHeight="1">
      <c r="A998" s="2"/>
      <c r="B998" s="15"/>
      <c r="C998" s="15"/>
      <c r="D998" s="15"/>
      <c r="E998" s="15"/>
      <c r="F998" s="15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5.75" customHeight="1">
      <c r="A999" s="2"/>
      <c r="B999" s="15"/>
      <c r="C999" s="15"/>
      <c r="D999" s="15"/>
      <c r="E999" s="15"/>
      <c r="F999" s="15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5.75" customHeight="1">
      <c r="A1000" s="2"/>
      <c r="B1000" s="15"/>
      <c r="C1000" s="15"/>
      <c r="D1000" s="15"/>
      <c r="E1000" s="15"/>
      <c r="F1000" s="15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3">
    <mergeCell ref="A3:A5"/>
    <mergeCell ref="B3:B4"/>
    <mergeCell ref="C3:F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4.29"/>
    <col customWidth="1" min="2" max="6" width="19.71"/>
    <col customWidth="1" min="7" max="26" width="11.43"/>
  </cols>
  <sheetData>
    <row r="1">
      <c r="A1" s="2" t="s">
        <v>5</v>
      </c>
      <c r="B1" s="2"/>
      <c r="C1" s="62"/>
      <c r="D1" s="62"/>
      <c r="E1" s="62"/>
      <c r="F1" s="2"/>
      <c r="G1" s="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2"/>
      <c r="W1" s="2"/>
      <c r="X1" s="2"/>
      <c r="Y1" s="2"/>
      <c r="Z1" s="2"/>
    </row>
    <row r="2">
      <c r="A2" s="5"/>
      <c r="B2" s="5"/>
      <c r="C2" s="63"/>
      <c r="D2" s="63"/>
      <c r="E2" s="63"/>
      <c r="F2" s="5"/>
      <c r="G2" s="5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5"/>
      <c r="W2" s="5"/>
      <c r="X2" s="5"/>
      <c r="Y2" s="5"/>
      <c r="Z2" s="5"/>
    </row>
    <row r="3" ht="15.75" customHeight="1">
      <c r="A3" s="81" t="s">
        <v>98</v>
      </c>
      <c r="B3" s="82" t="s">
        <v>331</v>
      </c>
      <c r="C3" s="83" t="s">
        <v>332</v>
      </c>
      <c r="D3" s="8"/>
      <c r="E3" s="8"/>
      <c r="F3" s="9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10"/>
      <c r="B4" s="12"/>
      <c r="C4" s="84" t="s">
        <v>333</v>
      </c>
      <c r="D4" s="84" t="s">
        <v>334</v>
      </c>
      <c r="E4" s="84" t="s">
        <v>335</v>
      </c>
      <c r="F4" s="84" t="s">
        <v>336</v>
      </c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2.75" customHeight="1">
      <c r="A5" s="12"/>
      <c r="B5" s="85" t="s">
        <v>14</v>
      </c>
      <c r="C5" s="85" t="s">
        <v>15</v>
      </c>
      <c r="D5" s="85" t="s">
        <v>16</v>
      </c>
      <c r="E5" s="85" t="s">
        <v>17</v>
      </c>
      <c r="F5" s="85" t="s">
        <v>18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1"/>
      <c r="B6" s="86"/>
      <c r="C6" s="15"/>
      <c r="D6" s="15"/>
      <c r="E6" s="15"/>
      <c r="F6" s="87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36" t="s">
        <v>99</v>
      </c>
      <c r="B7" s="38">
        <v>1080638.0</v>
      </c>
      <c r="C7" s="38">
        <v>977670.0</v>
      </c>
      <c r="D7" s="38">
        <v>94008.0</v>
      </c>
      <c r="E7" s="38">
        <v>4444.0</v>
      </c>
      <c r="F7" s="39">
        <v>4516.0</v>
      </c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88"/>
      <c r="B8" s="15"/>
      <c r="C8" s="15"/>
      <c r="D8" s="15"/>
      <c r="E8" s="15"/>
      <c r="F8" s="87"/>
      <c r="G8" s="15"/>
      <c r="H8" s="15"/>
      <c r="I8" s="15"/>
      <c r="J8" s="15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21.75" customHeight="1">
      <c r="A9" s="89" t="s">
        <v>100</v>
      </c>
      <c r="B9" s="15">
        <v>1141.0</v>
      </c>
      <c r="C9" s="15">
        <v>721.0</v>
      </c>
      <c r="D9" s="15">
        <v>351.0</v>
      </c>
      <c r="E9" s="15">
        <v>54.0</v>
      </c>
      <c r="F9" s="87">
        <v>15.0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21.75" customHeight="1">
      <c r="A10" s="89" t="s">
        <v>101</v>
      </c>
      <c r="B10" s="15">
        <v>619.0</v>
      </c>
      <c r="C10" s="15">
        <v>293.0</v>
      </c>
      <c r="D10" s="15">
        <v>223.0</v>
      </c>
      <c r="E10" s="15">
        <v>38.0</v>
      </c>
      <c r="F10" s="87">
        <v>65.0</v>
      </c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21.75" customHeight="1">
      <c r="A11" s="89" t="s">
        <v>102</v>
      </c>
      <c r="B11" s="15">
        <v>101.0</v>
      </c>
      <c r="C11" s="15">
        <v>85.0</v>
      </c>
      <c r="D11" s="15">
        <v>16.0</v>
      </c>
      <c r="E11" s="15">
        <v>0.0</v>
      </c>
      <c r="F11" s="87">
        <v>0.0</v>
      </c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21.75" customHeight="1">
      <c r="A12" s="89" t="s">
        <v>103</v>
      </c>
      <c r="B12" s="15">
        <v>4780.0</v>
      </c>
      <c r="C12" s="15">
        <v>3510.0</v>
      </c>
      <c r="D12" s="15">
        <v>1221.0</v>
      </c>
      <c r="E12" s="15">
        <v>35.0</v>
      </c>
      <c r="F12" s="87">
        <v>14.0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21.75" customHeight="1">
      <c r="A13" s="89" t="s">
        <v>104</v>
      </c>
      <c r="B13" s="15">
        <v>911.0</v>
      </c>
      <c r="C13" s="15">
        <v>508.0</v>
      </c>
      <c r="D13" s="15">
        <v>370.0</v>
      </c>
      <c r="E13" s="15">
        <v>20.0</v>
      </c>
      <c r="F13" s="87">
        <v>13.0</v>
      </c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21.75" customHeight="1">
      <c r="A14" s="89" t="s">
        <v>105</v>
      </c>
      <c r="B14" s="15">
        <v>20.0</v>
      </c>
      <c r="C14" s="15">
        <v>15.0</v>
      </c>
      <c r="D14" s="15">
        <v>4.0</v>
      </c>
      <c r="E14" s="15">
        <v>0.0</v>
      </c>
      <c r="F14" s="87">
        <v>1.0</v>
      </c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21.75" customHeight="1">
      <c r="A15" s="89" t="s">
        <v>106</v>
      </c>
      <c r="B15" s="15">
        <v>42.0</v>
      </c>
      <c r="C15" s="15">
        <v>36.0</v>
      </c>
      <c r="D15" s="15">
        <v>5.0</v>
      </c>
      <c r="E15" s="15">
        <v>1.0</v>
      </c>
      <c r="F15" s="87">
        <v>0.0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21.75" customHeight="1">
      <c r="A16" s="89" t="s">
        <v>107</v>
      </c>
      <c r="B16" s="15">
        <v>16.0</v>
      </c>
      <c r="C16" s="15">
        <v>12.0</v>
      </c>
      <c r="D16" s="15">
        <v>4.0</v>
      </c>
      <c r="E16" s="15">
        <v>0.0</v>
      </c>
      <c r="F16" s="87">
        <v>0.0</v>
      </c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21.75" customHeight="1">
      <c r="A17" s="89" t="s">
        <v>108</v>
      </c>
      <c r="B17" s="15">
        <v>286.0</v>
      </c>
      <c r="C17" s="15">
        <v>116.0</v>
      </c>
      <c r="D17" s="15">
        <v>135.0</v>
      </c>
      <c r="E17" s="15">
        <v>14.0</v>
      </c>
      <c r="F17" s="87">
        <v>21.0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21.75" customHeight="1">
      <c r="A18" s="89" t="s">
        <v>109</v>
      </c>
      <c r="B18" s="15">
        <v>690.0</v>
      </c>
      <c r="C18" s="15">
        <v>539.0</v>
      </c>
      <c r="D18" s="15">
        <v>136.0</v>
      </c>
      <c r="E18" s="15">
        <v>9.0</v>
      </c>
      <c r="F18" s="87">
        <v>6.0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21.75" customHeight="1">
      <c r="A19" s="89" t="s">
        <v>110</v>
      </c>
      <c r="B19" s="15">
        <v>21.0</v>
      </c>
      <c r="C19" s="15">
        <v>12.0</v>
      </c>
      <c r="D19" s="15">
        <v>8.0</v>
      </c>
      <c r="E19" s="15">
        <v>0.0</v>
      </c>
      <c r="F19" s="87">
        <v>1.0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21.75" customHeight="1">
      <c r="A20" s="89" t="s">
        <v>111</v>
      </c>
      <c r="B20" s="15">
        <v>2.0</v>
      </c>
      <c r="C20" s="15">
        <v>2.0</v>
      </c>
      <c r="D20" s="15">
        <v>0.0</v>
      </c>
      <c r="E20" s="15">
        <v>0.0</v>
      </c>
      <c r="F20" s="87">
        <v>0.0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21.75" customHeight="1">
      <c r="A21" s="89" t="s">
        <v>112</v>
      </c>
      <c r="B21" s="15">
        <v>3.0</v>
      </c>
      <c r="C21" s="15">
        <v>0.0</v>
      </c>
      <c r="D21" s="15">
        <v>2.0</v>
      </c>
      <c r="E21" s="15">
        <v>1.0</v>
      </c>
      <c r="F21" s="87">
        <v>0.0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21.75" customHeight="1">
      <c r="A22" s="89" t="s">
        <v>113</v>
      </c>
      <c r="B22" s="15">
        <v>4.0</v>
      </c>
      <c r="C22" s="15">
        <v>1.0</v>
      </c>
      <c r="D22" s="15">
        <v>2.0</v>
      </c>
      <c r="E22" s="15">
        <v>0.0</v>
      </c>
      <c r="F22" s="87">
        <v>1.0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21.75" customHeight="1">
      <c r="A23" s="89" t="s">
        <v>114</v>
      </c>
      <c r="B23" s="15">
        <v>8.0</v>
      </c>
      <c r="C23" s="15">
        <v>2.0</v>
      </c>
      <c r="D23" s="15">
        <v>4.0</v>
      </c>
      <c r="E23" s="15">
        <v>0.0</v>
      </c>
      <c r="F23" s="87">
        <v>2.0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21.75" customHeight="1">
      <c r="A24" s="89" t="s">
        <v>115</v>
      </c>
      <c r="B24" s="15">
        <v>228.0</v>
      </c>
      <c r="C24" s="15">
        <v>147.0</v>
      </c>
      <c r="D24" s="15">
        <v>49.0</v>
      </c>
      <c r="E24" s="15">
        <v>6.0</v>
      </c>
      <c r="F24" s="87">
        <v>26.0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21.75" customHeight="1">
      <c r="A25" s="89" t="s">
        <v>116</v>
      </c>
      <c r="B25" s="15">
        <v>565.0</v>
      </c>
      <c r="C25" s="15">
        <v>318.0</v>
      </c>
      <c r="D25" s="15">
        <v>239.0</v>
      </c>
      <c r="E25" s="15">
        <v>6.0</v>
      </c>
      <c r="F25" s="87">
        <v>2.0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21.75" customHeight="1">
      <c r="A26" s="89" t="s">
        <v>117</v>
      </c>
      <c r="B26" s="15">
        <v>60.0</v>
      </c>
      <c r="C26" s="15">
        <v>50.0</v>
      </c>
      <c r="D26" s="15">
        <v>9.0</v>
      </c>
      <c r="E26" s="15">
        <v>1.0</v>
      </c>
      <c r="F26" s="87">
        <v>0.0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21.75" customHeight="1">
      <c r="A27" s="89" t="s">
        <v>437</v>
      </c>
      <c r="B27" s="15">
        <v>1.0</v>
      </c>
      <c r="C27" s="15">
        <v>1.0</v>
      </c>
      <c r="D27" s="15">
        <v>0.0</v>
      </c>
      <c r="E27" s="15">
        <v>0.0</v>
      </c>
      <c r="F27" s="87">
        <v>0.0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21.75" customHeight="1">
      <c r="A28" s="89" t="s">
        <v>119</v>
      </c>
      <c r="B28" s="15">
        <v>67.0</v>
      </c>
      <c r="C28" s="15">
        <v>46.0</v>
      </c>
      <c r="D28" s="15">
        <v>15.0</v>
      </c>
      <c r="E28" s="15">
        <v>4.0</v>
      </c>
      <c r="F28" s="87">
        <v>2.0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21.75" customHeight="1">
      <c r="A29" s="89" t="s">
        <v>120</v>
      </c>
      <c r="B29" s="15">
        <v>670.0</v>
      </c>
      <c r="C29" s="15">
        <v>424.0</v>
      </c>
      <c r="D29" s="15">
        <v>185.0</v>
      </c>
      <c r="E29" s="15">
        <v>31.0</v>
      </c>
      <c r="F29" s="87">
        <v>30.0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21.75" customHeight="1">
      <c r="A30" s="89" t="s">
        <v>121</v>
      </c>
      <c r="B30" s="15">
        <v>822.0</v>
      </c>
      <c r="C30" s="15">
        <v>586.0</v>
      </c>
      <c r="D30" s="15">
        <v>194.0</v>
      </c>
      <c r="E30" s="15">
        <v>19.0</v>
      </c>
      <c r="F30" s="87">
        <v>23.0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21.75" customHeight="1">
      <c r="A31" s="89" t="s">
        <v>122</v>
      </c>
      <c r="B31" s="15">
        <v>420.0</v>
      </c>
      <c r="C31" s="15">
        <v>274.0</v>
      </c>
      <c r="D31" s="15">
        <v>110.0</v>
      </c>
      <c r="E31" s="15">
        <v>13.0</v>
      </c>
      <c r="F31" s="87">
        <v>23.0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21.75" customHeight="1">
      <c r="A32" s="89" t="s">
        <v>123</v>
      </c>
      <c r="B32" s="15">
        <v>153.0</v>
      </c>
      <c r="C32" s="15">
        <v>42.0</v>
      </c>
      <c r="D32" s="15">
        <v>86.0</v>
      </c>
      <c r="E32" s="15">
        <v>19.0</v>
      </c>
      <c r="F32" s="87">
        <v>6.0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21.75" customHeight="1">
      <c r="A33" s="89" t="s">
        <v>124</v>
      </c>
      <c r="B33" s="15">
        <v>372.0</v>
      </c>
      <c r="C33" s="15">
        <v>286.0</v>
      </c>
      <c r="D33" s="15">
        <v>63.0</v>
      </c>
      <c r="E33" s="15">
        <v>7.0</v>
      </c>
      <c r="F33" s="87">
        <v>16.0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21.75" customHeight="1">
      <c r="A34" s="89" t="s">
        <v>125</v>
      </c>
      <c r="B34" s="15">
        <v>12292.0</v>
      </c>
      <c r="C34" s="15">
        <v>11691.0</v>
      </c>
      <c r="D34" s="15">
        <v>560.0</v>
      </c>
      <c r="E34" s="15">
        <v>27.0</v>
      </c>
      <c r="F34" s="87">
        <v>14.0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21.75" customHeight="1">
      <c r="A35" s="89" t="s">
        <v>126</v>
      </c>
      <c r="B35" s="15">
        <v>30791.0</v>
      </c>
      <c r="C35" s="15">
        <v>28259.0</v>
      </c>
      <c r="D35" s="15">
        <v>2314.0</v>
      </c>
      <c r="E35" s="15">
        <v>103.0</v>
      </c>
      <c r="F35" s="87">
        <v>115.0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21.75" customHeight="1">
      <c r="A36" s="89" t="s">
        <v>127</v>
      </c>
      <c r="B36" s="15">
        <v>245.0</v>
      </c>
      <c r="C36" s="15">
        <v>59.0</v>
      </c>
      <c r="D36" s="15">
        <v>151.0</v>
      </c>
      <c r="E36" s="15">
        <v>22.0</v>
      </c>
      <c r="F36" s="87">
        <v>13.0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21.75" customHeight="1">
      <c r="A37" s="89" t="s">
        <v>128</v>
      </c>
      <c r="B37" s="15">
        <v>31204.0</v>
      </c>
      <c r="C37" s="15">
        <v>30823.0</v>
      </c>
      <c r="D37" s="15">
        <v>311.0</v>
      </c>
      <c r="E37" s="15">
        <v>24.0</v>
      </c>
      <c r="F37" s="87">
        <v>46.0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21.75" customHeight="1">
      <c r="A38" s="89" t="s">
        <v>129</v>
      </c>
      <c r="B38" s="15">
        <v>38.0</v>
      </c>
      <c r="C38" s="15">
        <v>7.0</v>
      </c>
      <c r="D38" s="15">
        <v>14.0</v>
      </c>
      <c r="E38" s="15">
        <v>7.0</v>
      </c>
      <c r="F38" s="87">
        <v>10.0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21.75" customHeight="1">
      <c r="A39" s="89" t="s">
        <v>130</v>
      </c>
      <c r="B39" s="15">
        <v>290.0</v>
      </c>
      <c r="C39" s="15">
        <v>221.0</v>
      </c>
      <c r="D39" s="15">
        <v>56.0</v>
      </c>
      <c r="E39" s="15">
        <v>7.0</v>
      </c>
      <c r="F39" s="87">
        <v>6.0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21.75" customHeight="1">
      <c r="A40" s="89" t="s">
        <v>131</v>
      </c>
      <c r="B40" s="15">
        <v>850.0</v>
      </c>
      <c r="C40" s="15">
        <v>634.0</v>
      </c>
      <c r="D40" s="15">
        <v>184.0</v>
      </c>
      <c r="E40" s="15">
        <v>14.0</v>
      </c>
      <c r="F40" s="87">
        <v>18.0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21.75" customHeight="1">
      <c r="A41" s="89" t="s">
        <v>132</v>
      </c>
      <c r="B41" s="15">
        <v>1597.0</v>
      </c>
      <c r="C41" s="15">
        <v>1102.0</v>
      </c>
      <c r="D41" s="15">
        <v>384.0</v>
      </c>
      <c r="E41" s="15">
        <v>42.0</v>
      </c>
      <c r="F41" s="87">
        <v>69.0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21.75" customHeight="1">
      <c r="A42" s="89" t="s">
        <v>133</v>
      </c>
      <c r="B42" s="15">
        <v>6622.0</v>
      </c>
      <c r="C42" s="15">
        <v>6484.0</v>
      </c>
      <c r="D42" s="15">
        <v>135.0</v>
      </c>
      <c r="E42" s="15">
        <v>3.0</v>
      </c>
      <c r="F42" s="87">
        <v>0.0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21.75" customHeight="1">
      <c r="A43" s="89" t="s">
        <v>134</v>
      </c>
      <c r="B43" s="15">
        <v>37.0</v>
      </c>
      <c r="C43" s="15">
        <v>11.0</v>
      </c>
      <c r="D43" s="15">
        <v>14.0</v>
      </c>
      <c r="E43" s="15">
        <v>3.0</v>
      </c>
      <c r="F43" s="87">
        <v>9.0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21.75" customHeight="1">
      <c r="A44" s="89" t="s">
        <v>135</v>
      </c>
      <c r="B44" s="15">
        <v>187.0</v>
      </c>
      <c r="C44" s="15">
        <v>129.0</v>
      </c>
      <c r="D44" s="15">
        <v>49.0</v>
      </c>
      <c r="E44" s="15">
        <v>1.0</v>
      </c>
      <c r="F44" s="87">
        <v>8.0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21.75" customHeight="1">
      <c r="A45" s="89" t="s">
        <v>136</v>
      </c>
      <c r="B45" s="15">
        <v>293.0</v>
      </c>
      <c r="C45" s="15">
        <v>193.0</v>
      </c>
      <c r="D45" s="15">
        <v>84.0</v>
      </c>
      <c r="E45" s="15">
        <v>11.0</v>
      </c>
      <c r="F45" s="87">
        <v>5.0</v>
      </c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21.75" customHeight="1">
      <c r="A46" s="89" t="s">
        <v>137</v>
      </c>
      <c r="B46" s="15">
        <v>166.0</v>
      </c>
      <c r="C46" s="15">
        <v>119.0</v>
      </c>
      <c r="D46" s="15">
        <v>44.0</v>
      </c>
      <c r="E46" s="15">
        <v>1.0</v>
      </c>
      <c r="F46" s="87">
        <v>2.0</v>
      </c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21.75" customHeight="1">
      <c r="A47" s="89" t="s">
        <v>138</v>
      </c>
      <c r="B47" s="15">
        <v>1583.0</v>
      </c>
      <c r="C47" s="15">
        <v>1371.0</v>
      </c>
      <c r="D47" s="15">
        <v>179.0</v>
      </c>
      <c r="E47" s="15">
        <v>17.0</v>
      </c>
      <c r="F47" s="87">
        <v>16.0</v>
      </c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21.75" customHeight="1">
      <c r="A48" s="89" t="s">
        <v>139</v>
      </c>
      <c r="B48" s="15">
        <v>433.0</v>
      </c>
      <c r="C48" s="15">
        <v>131.0</v>
      </c>
      <c r="D48" s="15">
        <v>235.0</v>
      </c>
      <c r="E48" s="15">
        <v>43.0</v>
      </c>
      <c r="F48" s="87">
        <v>24.0</v>
      </c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21.75" customHeight="1">
      <c r="A49" s="89" t="s">
        <v>140</v>
      </c>
      <c r="B49" s="15">
        <v>10112.0</v>
      </c>
      <c r="C49" s="15">
        <v>9333.0</v>
      </c>
      <c r="D49" s="15">
        <v>755.0</v>
      </c>
      <c r="E49" s="15">
        <v>20.0</v>
      </c>
      <c r="F49" s="87">
        <v>4.0</v>
      </c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21.75" customHeight="1">
      <c r="A50" s="89" t="s">
        <v>141</v>
      </c>
      <c r="B50" s="15">
        <v>28.0</v>
      </c>
      <c r="C50" s="15">
        <v>17.0</v>
      </c>
      <c r="D50" s="15">
        <v>8.0</v>
      </c>
      <c r="E50" s="15">
        <v>0.0</v>
      </c>
      <c r="F50" s="87">
        <v>3.0</v>
      </c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21.75" customHeight="1">
      <c r="A51" s="89" t="s">
        <v>142</v>
      </c>
      <c r="B51" s="15">
        <v>3.0</v>
      </c>
      <c r="C51" s="15">
        <v>3.0</v>
      </c>
      <c r="D51" s="15">
        <v>0.0</v>
      </c>
      <c r="E51" s="15">
        <v>0.0</v>
      </c>
      <c r="F51" s="87">
        <v>0.0</v>
      </c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21.75" customHeight="1">
      <c r="A52" s="89" t="s">
        <v>143</v>
      </c>
      <c r="B52" s="15">
        <v>37.0</v>
      </c>
      <c r="C52" s="15">
        <v>17.0</v>
      </c>
      <c r="D52" s="15">
        <v>17.0</v>
      </c>
      <c r="E52" s="15">
        <v>2.0</v>
      </c>
      <c r="F52" s="87">
        <v>1.0</v>
      </c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21.75" customHeight="1">
      <c r="A53" s="89" t="s">
        <v>144</v>
      </c>
      <c r="B53" s="15">
        <v>4.0</v>
      </c>
      <c r="C53" s="15">
        <v>2.0</v>
      </c>
      <c r="D53" s="15">
        <v>2.0</v>
      </c>
      <c r="E53" s="15">
        <v>0.0</v>
      </c>
      <c r="F53" s="87">
        <v>0.0</v>
      </c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21.75" customHeight="1">
      <c r="A54" s="89" t="s">
        <v>145</v>
      </c>
      <c r="B54" s="15">
        <v>347.0</v>
      </c>
      <c r="C54" s="15">
        <v>122.0</v>
      </c>
      <c r="D54" s="15">
        <v>186.0</v>
      </c>
      <c r="E54" s="15">
        <v>27.0</v>
      </c>
      <c r="F54" s="87">
        <v>12.0</v>
      </c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21.75" customHeight="1">
      <c r="A55" s="89" t="s">
        <v>146</v>
      </c>
      <c r="B55" s="15">
        <v>599.0</v>
      </c>
      <c r="C55" s="15">
        <v>282.0</v>
      </c>
      <c r="D55" s="15">
        <v>252.0</v>
      </c>
      <c r="E55" s="15">
        <v>41.0</v>
      </c>
      <c r="F55" s="87">
        <v>24.0</v>
      </c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21.75" customHeight="1">
      <c r="A56" s="89" t="s">
        <v>147</v>
      </c>
      <c r="B56" s="15">
        <v>9.0</v>
      </c>
      <c r="C56" s="15">
        <v>4.0</v>
      </c>
      <c r="D56" s="15">
        <v>3.0</v>
      </c>
      <c r="E56" s="15">
        <v>2.0</v>
      </c>
      <c r="F56" s="87">
        <v>0.0</v>
      </c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21.75" customHeight="1">
      <c r="A57" s="89" t="s">
        <v>148</v>
      </c>
      <c r="B57" s="15">
        <v>134.0</v>
      </c>
      <c r="C57" s="15">
        <v>42.0</v>
      </c>
      <c r="D57" s="15">
        <v>63.0</v>
      </c>
      <c r="E57" s="15">
        <v>17.0</v>
      </c>
      <c r="F57" s="87">
        <v>12.0</v>
      </c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21.75" customHeight="1">
      <c r="A58" s="89" t="s">
        <v>149</v>
      </c>
      <c r="B58" s="15">
        <v>250.0</v>
      </c>
      <c r="C58" s="15">
        <v>139.0</v>
      </c>
      <c r="D58" s="15">
        <v>84.0</v>
      </c>
      <c r="E58" s="15">
        <v>15.0</v>
      </c>
      <c r="F58" s="87">
        <v>12.0</v>
      </c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21.75" customHeight="1">
      <c r="A59" s="89" t="s">
        <v>150</v>
      </c>
      <c r="B59" s="15">
        <v>815.0</v>
      </c>
      <c r="C59" s="15">
        <v>212.0</v>
      </c>
      <c r="D59" s="15">
        <v>458.0</v>
      </c>
      <c r="E59" s="15">
        <v>88.0</v>
      </c>
      <c r="F59" s="87">
        <v>57.0</v>
      </c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21.75" customHeight="1">
      <c r="A60" s="89" t="s">
        <v>151</v>
      </c>
      <c r="B60" s="15">
        <v>445.0</v>
      </c>
      <c r="C60" s="15">
        <v>378.0</v>
      </c>
      <c r="D60" s="15">
        <v>55.0</v>
      </c>
      <c r="E60" s="15">
        <v>7.0</v>
      </c>
      <c r="F60" s="87">
        <v>5.0</v>
      </c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21.75" customHeight="1">
      <c r="A61" s="89" t="s">
        <v>152</v>
      </c>
      <c r="B61" s="15">
        <v>4733.0</v>
      </c>
      <c r="C61" s="15">
        <v>4153.0</v>
      </c>
      <c r="D61" s="15">
        <v>513.0</v>
      </c>
      <c r="E61" s="15">
        <v>33.0</v>
      </c>
      <c r="F61" s="87">
        <v>34.0</v>
      </c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21.75" customHeight="1">
      <c r="A62" s="89" t="s">
        <v>153</v>
      </c>
      <c r="B62" s="15">
        <v>725.0</v>
      </c>
      <c r="C62" s="15">
        <v>496.0</v>
      </c>
      <c r="D62" s="15">
        <v>189.0</v>
      </c>
      <c r="E62" s="15">
        <v>20.0</v>
      </c>
      <c r="F62" s="87">
        <v>20.0</v>
      </c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21.75" customHeight="1">
      <c r="A63" s="89" t="s">
        <v>154</v>
      </c>
      <c r="B63" s="15">
        <v>65.0</v>
      </c>
      <c r="C63" s="15">
        <v>37.0</v>
      </c>
      <c r="D63" s="15">
        <v>23.0</v>
      </c>
      <c r="E63" s="15">
        <v>1.0</v>
      </c>
      <c r="F63" s="87">
        <v>4.0</v>
      </c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21.75" customHeight="1">
      <c r="A64" s="89" t="s">
        <v>155</v>
      </c>
      <c r="B64" s="15">
        <v>108.0</v>
      </c>
      <c r="C64" s="15">
        <v>57.0</v>
      </c>
      <c r="D64" s="15">
        <v>42.0</v>
      </c>
      <c r="E64" s="15">
        <v>6.0</v>
      </c>
      <c r="F64" s="87">
        <v>3.0</v>
      </c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21.75" customHeight="1">
      <c r="A65" s="89" t="s">
        <v>156</v>
      </c>
      <c r="B65" s="15">
        <v>1347.0</v>
      </c>
      <c r="C65" s="15">
        <v>976.0</v>
      </c>
      <c r="D65" s="15">
        <v>334.0</v>
      </c>
      <c r="E65" s="15">
        <v>23.0</v>
      </c>
      <c r="F65" s="87">
        <v>14.0</v>
      </c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21.75" customHeight="1">
      <c r="A66" s="89" t="s">
        <v>157</v>
      </c>
      <c r="B66" s="15">
        <v>39.0</v>
      </c>
      <c r="C66" s="15">
        <v>30.0</v>
      </c>
      <c r="D66" s="15">
        <v>7.0</v>
      </c>
      <c r="E66" s="15">
        <v>0.0</v>
      </c>
      <c r="F66" s="87">
        <v>2.0</v>
      </c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21.75" customHeight="1">
      <c r="A67" s="89" t="s">
        <v>158</v>
      </c>
      <c r="B67" s="15">
        <v>6635.0</v>
      </c>
      <c r="C67" s="15">
        <v>6069.0</v>
      </c>
      <c r="D67" s="15">
        <v>494.0</v>
      </c>
      <c r="E67" s="15">
        <v>35.0</v>
      </c>
      <c r="F67" s="87">
        <v>37.0</v>
      </c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21.75" customHeight="1">
      <c r="A68" s="89" t="s">
        <v>159</v>
      </c>
      <c r="B68" s="15">
        <v>155.0</v>
      </c>
      <c r="C68" s="15">
        <v>14.0</v>
      </c>
      <c r="D68" s="15">
        <v>39.0</v>
      </c>
      <c r="E68" s="15">
        <v>19.0</v>
      </c>
      <c r="F68" s="87">
        <v>83.0</v>
      </c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21.75" customHeight="1">
      <c r="A69" s="89" t="s">
        <v>160</v>
      </c>
      <c r="B69" s="15">
        <v>50.0</v>
      </c>
      <c r="C69" s="15">
        <v>14.0</v>
      </c>
      <c r="D69" s="15">
        <v>19.0</v>
      </c>
      <c r="E69" s="15">
        <v>5.0</v>
      </c>
      <c r="F69" s="87">
        <v>12.0</v>
      </c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21.75" customHeight="1">
      <c r="A70" s="89" t="s">
        <v>161</v>
      </c>
      <c r="B70" s="15">
        <v>23.0</v>
      </c>
      <c r="C70" s="15">
        <v>7.0</v>
      </c>
      <c r="D70" s="15">
        <v>9.0</v>
      </c>
      <c r="E70" s="15">
        <v>1.0</v>
      </c>
      <c r="F70" s="87">
        <v>6.0</v>
      </c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21.75" customHeight="1">
      <c r="A71" s="89" t="s">
        <v>162</v>
      </c>
      <c r="B71" s="15">
        <v>50.0</v>
      </c>
      <c r="C71" s="15">
        <v>21.0</v>
      </c>
      <c r="D71" s="15">
        <v>15.0</v>
      </c>
      <c r="E71" s="15">
        <v>4.0</v>
      </c>
      <c r="F71" s="87">
        <v>10.0</v>
      </c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21.75" customHeight="1">
      <c r="A72" s="89" t="s">
        <v>163</v>
      </c>
      <c r="B72" s="15">
        <v>47.0</v>
      </c>
      <c r="C72" s="15">
        <v>16.0</v>
      </c>
      <c r="D72" s="15">
        <v>25.0</v>
      </c>
      <c r="E72" s="15">
        <v>3.0</v>
      </c>
      <c r="F72" s="87">
        <v>3.0</v>
      </c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21.75" customHeight="1">
      <c r="A73" s="89" t="s">
        <v>164</v>
      </c>
      <c r="B73" s="15">
        <v>8.0</v>
      </c>
      <c r="C73" s="15">
        <v>3.0</v>
      </c>
      <c r="D73" s="15">
        <v>3.0</v>
      </c>
      <c r="E73" s="15">
        <v>1.0</v>
      </c>
      <c r="F73" s="87">
        <v>1.0</v>
      </c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21.75" customHeight="1">
      <c r="A74" s="89" t="s">
        <v>165</v>
      </c>
      <c r="B74" s="15">
        <v>39.0</v>
      </c>
      <c r="C74" s="15">
        <v>17.0</v>
      </c>
      <c r="D74" s="15">
        <v>12.0</v>
      </c>
      <c r="E74" s="15">
        <v>2.0</v>
      </c>
      <c r="F74" s="87">
        <v>8.0</v>
      </c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21.75" customHeight="1">
      <c r="A75" s="89" t="s">
        <v>166</v>
      </c>
      <c r="B75" s="15">
        <v>100.0</v>
      </c>
      <c r="C75" s="15">
        <v>23.0</v>
      </c>
      <c r="D75" s="15">
        <v>55.0</v>
      </c>
      <c r="E75" s="15">
        <v>8.0</v>
      </c>
      <c r="F75" s="87">
        <v>14.0</v>
      </c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21.75" customHeight="1">
      <c r="A76" s="89" t="s">
        <v>167</v>
      </c>
      <c r="B76" s="15">
        <v>13.0</v>
      </c>
      <c r="C76" s="15">
        <v>5.0</v>
      </c>
      <c r="D76" s="15">
        <v>3.0</v>
      </c>
      <c r="E76" s="15">
        <v>1.0</v>
      </c>
      <c r="F76" s="87">
        <v>4.0</v>
      </c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21.75" customHeight="1">
      <c r="A77" s="89" t="s">
        <v>168</v>
      </c>
      <c r="B77" s="15">
        <v>73.0</v>
      </c>
      <c r="C77" s="15">
        <v>16.0</v>
      </c>
      <c r="D77" s="15">
        <v>37.0</v>
      </c>
      <c r="E77" s="15">
        <v>6.0</v>
      </c>
      <c r="F77" s="87">
        <v>14.0</v>
      </c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21.75" customHeight="1">
      <c r="A78" s="89" t="s">
        <v>169</v>
      </c>
      <c r="B78" s="15">
        <v>48.0</v>
      </c>
      <c r="C78" s="15">
        <v>16.0</v>
      </c>
      <c r="D78" s="15">
        <v>20.0</v>
      </c>
      <c r="E78" s="15">
        <v>6.0</v>
      </c>
      <c r="F78" s="87">
        <v>6.0</v>
      </c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21.75" customHeight="1">
      <c r="A79" s="89" t="s">
        <v>170</v>
      </c>
      <c r="B79" s="15">
        <v>113.0</v>
      </c>
      <c r="C79" s="15">
        <v>65.0</v>
      </c>
      <c r="D79" s="15">
        <v>37.0</v>
      </c>
      <c r="E79" s="15">
        <v>7.0</v>
      </c>
      <c r="F79" s="87">
        <v>4.0</v>
      </c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21.75" customHeight="1">
      <c r="A80" s="89" t="s">
        <v>171</v>
      </c>
      <c r="B80" s="15">
        <v>49.0</v>
      </c>
      <c r="C80" s="15">
        <v>16.0</v>
      </c>
      <c r="D80" s="15">
        <v>18.0</v>
      </c>
      <c r="E80" s="15">
        <v>6.0</v>
      </c>
      <c r="F80" s="87">
        <v>9.0</v>
      </c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21.75" customHeight="1">
      <c r="A81" s="89" t="s">
        <v>172</v>
      </c>
      <c r="B81" s="15">
        <v>276.0</v>
      </c>
      <c r="C81" s="15">
        <v>121.0</v>
      </c>
      <c r="D81" s="15">
        <v>113.0</v>
      </c>
      <c r="E81" s="15">
        <v>21.0</v>
      </c>
      <c r="F81" s="87">
        <v>21.0</v>
      </c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21.75" customHeight="1">
      <c r="A82" s="89" t="s">
        <v>173</v>
      </c>
      <c r="B82" s="15">
        <v>626.0</v>
      </c>
      <c r="C82" s="15">
        <v>396.0</v>
      </c>
      <c r="D82" s="15">
        <v>189.0</v>
      </c>
      <c r="E82" s="15">
        <v>22.0</v>
      </c>
      <c r="F82" s="87">
        <v>19.0</v>
      </c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21.75" customHeight="1">
      <c r="A83" s="89" t="s">
        <v>174</v>
      </c>
      <c r="B83" s="15">
        <v>68.0</v>
      </c>
      <c r="C83" s="15">
        <v>24.0</v>
      </c>
      <c r="D83" s="15">
        <v>32.0</v>
      </c>
      <c r="E83" s="15">
        <v>5.0</v>
      </c>
      <c r="F83" s="87">
        <v>7.0</v>
      </c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21.75" customHeight="1">
      <c r="A84" s="89" t="s">
        <v>175</v>
      </c>
      <c r="B84" s="15">
        <v>47.0</v>
      </c>
      <c r="C84" s="15">
        <v>30.0</v>
      </c>
      <c r="D84" s="15">
        <v>14.0</v>
      </c>
      <c r="E84" s="15">
        <v>2.0</v>
      </c>
      <c r="F84" s="87">
        <v>1.0</v>
      </c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21.75" customHeight="1">
      <c r="A85" s="89" t="s">
        <v>176</v>
      </c>
      <c r="B85" s="15">
        <v>158.0</v>
      </c>
      <c r="C85" s="15">
        <v>63.0</v>
      </c>
      <c r="D85" s="15">
        <v>46.0</v>
      </c>
      <c r="E85" s="15">
        <v>16.0</v>
      </c>
      <c r="F85" s="87">
        <v>33.0</v>
      </c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21.75" customHeight="1">
      <c r="A86" s="89" t="s">
        <v>177</v>
      </c>
      <c r="B86" s="15">
        <v>58.0</v>
      </c>
      <c r="C86" s="15">
        <v>36.0</v>
      </c>
      <c r="D86" s="15">
        <v>15.0</v>
      </c>
      <c r="E86" s="15">
        <v>3.0</v>
      </c>
      <c r="F86" s="87">
        <v>4.0</v>
      </c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21.75" customHeight="1">
      <c r="A87" s="89" t="s">
        <v>178</v>
      </c>
      <c r="B87" s="15">
        <v>7.0</v>
      </c>
      <c r="C87" s="15">
        <v>4.0</v>
      </c>
      <c r="D87" s="15">
        <v>1.0</v>
      </c>
      <c r="E87" s="15">
        <v>2.0</v>
      </c>
      <c r="F87" s="87">
        <v>0.0</v>
      </c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21.75" customHeight="1">
      <c r="A88" s="89" t="s">
        <v>179</v>
      </c>
      <c r="B88" s="15">
        <v>7.0</v>
      </c>
      <c r="C88" s="15">
        <v>1.0</v>
      </c>
      <c r="D88" s="15">
        <v>3.0</v>
      </c>
      <c r="E88" s="15">
        <v>0.0</v>
      </c>
      <c r="F88" s="87">
        <v>3.0</v>
      </c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21.75" customHeight="1">
      <c r="A89" s="89" t="s">
        <v>180</v>
      </c>
      <c r="B89" s="15">
        <v>2.0</v>
      </c>
      <c r="C89" s="15">
        <v>1.0</v>
      </c>
      <c r="D89" s="15">
        <v>1.0</v>
      </c>
      <c r="E89" s="15">
        <v>0.0</v>
      </c>
      <c r="F89" s="87">
        <v>0.0</v>
      </c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21.75" customHeight="1">
      <c r="A90" s="89" t="s">
        <v>181</v>
      </c>
      <c r="B90" s="15">
        <v>695.0</v>
      </c>
      <c r="C90" s="15">
        <v>650.0</v>
      </c>
      <c r="D90" s="15">
        <v>29.0</v>
      </c>
      <c r="E90" s="15">
        <v>3.0</v>
      </c>
      <c r="F90" s="87">
        <v>13.0</v>
      </c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21.75" customHeight="1">
      <c r="A91" s="89" t="s">
        <v>182</v>
      </c>
      <c r="B91" s="15">
        <v>6074.0</v>
      </c>
      <c r="C91" s="15">
        <v>5598.0</v>
      </c>
      <c r="D91" s="15">
        <v>434.0</v>
      </c>
      <c r="E91" s="15">
        <v>18.0</v>
      </c>
      <c r="F91" s="87">
        <v>24.0</v>
      </c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21.75" customHeight="1">
      <c r="A92" s="89" t="s">
        <v>183</v>
      </c>
      <c r="B92" s="15">
        <v>299.0</v>
      </c>
      <c r="C92" s="15">
        <v>262.0</v>
      </c>
      <c r="D92" s="15">
        <v>33.0</v>
      </c>
      <c r="E92" s="15">
        <v>2.0</v>
      </c>
      <c r="F92" s="87">
        <v>2.0</v>
      </c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21.75" customHeight="1">
      <c r="A93" s="89" t="s">
        <v>184</v>
      </c>
      <c r="B93" s="15">
        <v>83.0</v>
      </c>
      <c r="C93" s="15">
        <v>81.0</v>
      </c>
      <c r="D93" s="15">
        <v>2.0</v>
      </c>
      <c r="E93" s="15">
        <v>0.0</v>
      </c>
      <c r="F93" s="87">
        <v>0.0</v>
      </c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21.75" customHeight="1">
      <c r="A94" s="89" t="s">
        <v>185</v>
      </c>
      <c r="B94" s="15">
        <v>44.0</v>
      </c>
      <c r="C94" s="15">
        <v>26.0</v>
      </c>
      <c r="D94" s="15">
        <v>10.0</v>
      </c>
      <c r="E94" s="15">
        <v>2.0</v>
      </c>
      <c r="F94" s="87">
        <v>6.0</v>
      </c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21.75" customHeight="1">
      <c r="A95" s="89" t="s">
        <v>186</v>
      </c>
      <c r="B95" s="15">
        <v>37.0</v>
      </c>
      <c r="C95" s="15">
        <v>19.0</v>
      </c>
      <c r="D95" s="15">
        <v>9.0</v>
      </c>
      <c r="E95" s="15">
        <v>4.0</v>
      </c>
      <c r="F95" s="87">
        <v>5.0</v>
      </c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21.75" customHeight="1">
      <c r="A96" s="89" t="s">
        <v>187</v>
      </c>
      <c r="B96" s="15">
        <v>78.0</v>
      </c>
      <c r="C96" s="15">
        <v>24.0</v>
      </c>
      <c r="D96" s="15">
        <v>31.0</v>
      </c>
      <c r="E96" s="15">
        <v>11.0</v>
      </c>
      <c r="F96" s="87">
        <v>12.0</v>
      </c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21.75" customHeight="1">
      <c r="A97" s="89" t="s">
        <v>188</v>
      </c>
      <c r="B97" s="15">
        <v>639.0</v>
      </c>
      <c r="C97" s="15">
        <v>493.0</v>
      </c>
      <c r="D97" s="15">
        <v>135.0</v>
      </c>
      <c r="E97" s="15">
        <v>4.0</v>
      </c>
      <c r="F97" s="87">
        <v>7.0</v>
      </c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21.75" customHeight="1">
      <c r="A98" s="89" t="s">
        <v>189</v>
      </c>
      <c r="B98" s="15">
        <v>3913.0</v>
      </c>
      <c r="C98" s="15">
        <v>3454.0</v>
      </c>
      <c r="D98" s="15">
        <v>429.0</v>
      </c>
      <c r="E98" s="15">
        <v>17.0</v>
      </c>
      <c r="F98" s="87">
        <v>13.0</v>
      </c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21.75" customHeight="1">
      <c r="A99" s="89" t="s">
        <v>190</v>
      </c>
      <c r="B99" s="15">
        <v>58.0</v>
      </c>
      <c r="C99" s="15">
        <v>34.0</v>
      </c>
      <c r="D99" s="15">
        <v>22.0</v>
      </c>
      <c r="E99" s="15">
        <v>2.0</v>
      </c>
      <c r="F99" s="87">
        <v>0.0</v>
      </c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21.75" customHeight="1">
      <c r="A100" s="89" t="s">
        <v>191</v>
      </c>
      <c r="B100" s="15">
        <v>1376.0</v>
      </c>
      <c r="C100" s="15">
        <v>504.0</v>
      </c>
      <c r="D100" s="15">
        <v>691.0</v>
      </c>
      <c r="E100" s="15">
        <v>98.0</v>
      </c>
      <c r="F100" s="87">
        <v>83.0</v>
      </c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21.75" customHeight="1">
      <c r="A101" s="89" t="s">
        <v>192</v>
      </c>
      <c r="B101" s="15">
        <v>6.0</v>
      </c>
      <c r="C101" s="15">
        <v>3.0</v>
      </c>
      <c r="D101" s="15">
        <v>3.0</v>
      </c>
      <c r="E101" s="15">
        <v>0.0</v>
      </c>
      <c r="F101" s="87">
        <v>0.0</v>
      </c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21.75" customHeight="1">
      <c r="A102" s="89" t="s">
        <v>193</v>
      </c>
      <c r="B102" s="15">
        <v>2.0</v>
      </c>
      <c r="C102" s="15">
        <v>0.0</v>
      </c>
      <c r="D102" s="15">
        <v>2.0</v>
      </c>
      <c r="E102" s="15">
        <v>0.0</v>
      </c>
      <c r="F102" s="87">
        <v>0.0</v>
      </c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21.75" customHeight="1">
      <c r="A103" s="89" t="s">
        <v>194</v>
      </c>
      <c r="B103" s="15">
        <v>1294.0</v>
      </c>
      <c r="C103" s="15">
        <v>655.0</v>
      </c>
      <c r="D103" s="15">
        <v>587.0</v>
      </c>
      <c r="E103" s="15">
        <v>27.0</v>
      </c>
      <c r="F103" s="87">
        <v>25.0</v>
      </c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21.75" customHeight="1">
      <c r="A104" s="89" t="s">
        <v>195</v>
      </c>
      <c r="B104" s="15">
        <v>75.0</v>
      </c>
      <c r="C104" s="15">
        <v>49.0</v>
      </c>
      <c r="D104" s="15">
        <v>22.0</v>
      </c>
      <c r="E104" s="15">
        <v>1.0</v>
      </c>
      <c r="F104" s="87">
        <v>3.0</v>
      </c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21.75" customHeight="1">
      <c r="A105" s="89" t="s">
        <v>196</v>
      </c>
      <c r="B105" s="15">
        <v>48.0</v>
      </c>
      <c r="C105" s="15">
        <v>17.0</v>
      </c>
      <c r="D105" s="15">
        <v>25.0</v>
      </c>
      <c r="E105" s="15">
        <v>5.0</v>
      </c>
      <c r="F105" s="87">
        <v>1.0</v>
      </c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21.75" customHeight="1">
      <c r="A106" s="89" t="s">
        <v>197</v>
      </c>
      <c r="B106" s="15">
        <v>28.0</v>
      </c>
      <c r="C106" s="15">
        <v>7.0</v>
      </c>
      <c r="D106" s="15">
        <v>20.0</v>
      </c>
      <c r="E106" s="15">
        <v>0.0</v>
      </c>
      <c r="F106" s="87">
        <v>1.0</v>
      </c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21.75" customHeight="1">
      <c r="A107" s="89" t="s">
        <v>198</v>
      </c>
      <c r="B107" s="15">
        <v>95.0</v>
      </c>
      <c r="C107" s="15">
        <v>43.0</v>
      </c>
      <c r="D107" s="15">
        <v>50.0</v>
      </c>
      <c r="E107" s="15">
        <v>2.0</v>
      </c>
      <c r="F107" s="87">
        <v>0.0</v>
      </c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21.75" customHeight="1">
      <c r="A108" s="89" t="s">
        <v>199</v>
      </c>
      <c r="B108" s="15">
        <v>24.0</v>
      </c>
      <c r="C108" s="15">
        <v>15.0</v>
      </c>
      <c r="D108" s="15">
        <v>8.0</v>
      </c>
      <c r="E108" s="15">
        <v>0.0</v>
      </c>
      <c r="F108" s="87">
        <v>1.0</v>
      </c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21.75" customHeight="1">
      <c r="A109" s="89" t="s">
        <v>200</v>
      </c>
      <c r="B109" s="15">
        <v>1910.0</v>
      </c>
      <c r="C109" s="15">
        <v>872.0</v>
      </c>
      <c r="D109" s="15">
        <v>848.0</v>
      </c>
      <c r="E109" s="15">
        <v>94.0</v>
      </c>
      <c r="F109" s="87">
        <v>96.0</v>
      </c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21.75" customHeight="1">
      <c r="A110" s="89" t="s">
        <v>201</v>
      </c>
      <c r="B110" s="15">
        <v>528.0</v>
      </c>
      <c r="C110" s="15">
        <v>130.0</v>
      </c>
      <c r="D110" s="15">
        <v>275.0</v>
      </c>
      <c r="E110" s="15">
        <v>51.0</v>
      </c>
      <c r="F110" s="87">
        <v>72.0</v>
      </c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21.75" customHeight="1">
      <c r="A111" s="89" t="s">
        <v>202</v>
      </c>
      <c r="B111" s="15">
        <v>228.0</v>
      </c>
      <c r="C111" s="15">
        <v>102.0</v>
      </c>
      <c r="D111" s="15">
        <v>94.0</v>
      </c>
      <c r="E111" s="15">
        <v>16.0</v>
      </c>
      <c r="F111" s="87">
        <v>16.0</v>
      </c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21.75" customHeight="1">
      <c r="A112" s="89" t="s">
        <v>203</v>
      </c>
      <c r="B112" s="15">
        <v>348.0</v>
      </c>
      <c r="C112" s="15">
        <v>156.0</v>
      </c>
      <c r="D112" s="15">
        <v>159.0</v>
      </c>
      <c r="E112" s="15">
        <v>14.0</v>
      </c>
      <c r="F112" s="87">
        <v>19.0</v>
      </c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21.75" customHeight="1">
      <c r="A113" s="89" t="s">
        <v>204</v>
      </c>
      <c r="B113" s="15">
        <v>24.0</v>
      </c>
      <c r="C113" s="15">
        <v>10.0</v>
      </c>
      <c r="D113" s="15">
        <v>8.0</v>
      </c>
      <c r="E113" s="15">
        <v>2.0</v>
      </c>
      <c r="F113" s="87">
        <v>4.0</v>
      </c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21.75" customHeight="1">
      <c r="A114" s="89" t="s">
        <v>205</v>
      </c>
      <c r="B114" s="15">
        <v>888.0</v>
      </c>
      <c r="C114" s="15">
        <v>481.0</v>
      </c>
      <c r="D114" s="15">
        <v>325.0</v>
      </c>
      <c r="E114" s="15">
        <v>45.0</v>
      </c>
      <c r="F114" s="87">
        <v>37.0</v>
      </c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21.75" customHeight="1">
      <c r="A115" s="89" t="s">
        <v>206</v>
      </c>
      <c r="B115" s="15">
        <v>261.0</v>
      </c>
      <c r="C115" s="15">
        <v>200.0</v>
      </c>
      <c r="D115" s="15">
        <v>47.0</v>
      </c>
      <c r="E115" s="15">
        <v>7.0</v>
      </c>
      <c r="F115" s="87">
        <v>7.0</v>
      </c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21.75" customHeight="1">
      <c r="A116" s="89" t="s">
        <v>207</v>
      </c>
      <c r="B116" s="15">
        <v>295.0</v>
      </c>
      <c r="C116" s="15">
        <v>194.0</v>
      </c>
      <c r="D116" s="15">
        <v>88.0</v>
      </c>
      <c r="E116" s="15">
        <v>5.0</v>
      </c>
      <c r="F116" s="87">
        <v>8.0</v>
      </c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21.75" customHeight="1">
      <c r="A117" s="89" t="s">
        <v>208</v>
      </c>
      <c r="B117" s="15">
        <v>2420.0</v>
      </c>
      <c r="C117" s="15">
        <v>1515.0</v>
      </c>
      <c r="D117" s="15">
        <v>807.0</v>
      </c>
      <c r="E117" s="15">
        <v>66.0</v>
      </c>
      <c r="F117" s="87">
        <v>32.0</v>
      </c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21.75" customHeight="1">
      <c r="A118" s="89" t="s">
        <v>209</v>
      </c>
      <c r="B118" s="15">
        <v>28137.0</v>
      </c>
      <c r="C118" s="15">
        <v>27162.0</v>
      </c>
      <c r="D118" s="15">
        <v>967.0</v>
      </c>
      <c r="E118" s="15">
        <v>4.0</v>
      </c>
      <c r="F118" s="87">
        <v>4.0</v>
      </c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21.75" customHeight="1">
      <c r="A119" s="89" t="s">
        <v>210</v>
      </c>
      <c r="B119" s="15">
        <v>18757.0</v>
      </c>
      <c r="C119" s="15">
        <v>17710.0</v>
      </c>
      <c r="D119" s="15">
        <v>1027.0</v>
      </c>
      <c r="E119" s="15">
        <v>17.0</v>
      </c>
      <c r="F119" s="87">
        <v>3.0</v>
      </c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21.75" customHeight="1">
      <c r="A120" s="89" t="s">
        <v>211</v>
      </c>
      <c r="B120" s="15">
        <v>28127.0</v>
      </c>
      <c r="C120" s="15">
        <v>26407.0</v>
      </c>
      <c r="D120" s="15">
        <v>1699.0</v>
      </c>
      <c r="E120" s="15">
        <v>15.0</v>
      </c>
      <c r="F120" s="87">
        <v>6.0</v>
      </c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21.75" customHeight="1">
      <c r="A121" s="89" t="s">
        <v>212</v>
      </c>
      <c r="B121" s="15">
        <v>902.0</v>
      </c>
      <c r="C121" s="15">
        <v>602.0</v>
      </c>
      <c r="D121" s="15">
        <v>264.0</v>
      </c>
      <c r="E121" s="15">
        <v>20.0</v>
      </c>
      <c r="F121" s="87">
        <v>16.0</v>
      </c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21.75" customHeight="1">
      <c r="A122" s="89" t="s">
        <v>213</v>
      </c>
      <c r="B122" s="15">
        <v>10109.0</v>
      </c>
      <c r="C122" s="15">
        <v>9202.0</v>
      </c>
      <c r="D122" s="15">
        <v>884.0</v>
      </c>
      <c r="E122" s="15">
        <v>17.0</v>
      </c>
      <c r="F122" s="87">
        <v>6.0</v>
      </c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21.75" customHeight="1">
      <c r="A123" s="89" t="s">
        <v>214</v>
      </c>
      <c r="B123" s="15">
        <v>11404.0</v>
      </c>
      <c r="C123" s="15">
        <v>9535.0</v>
      </c>
      <c r="D123" s="15">
        <v>1723.0</v>
      </c>
      <c r="E123" s="15">
        <v>109.0</v>
      </c>
      <c r="F123" s="87">
        <v>37.0</v>
      </c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21.75" customHeight="1">
      <c r="A124" s="89" t="s">
        <v>215</v>
      </c>
      <c r="B124" s="15">
        <v>12895.0</v>
      </c>
      <c r="C124" s="15">
        <v>10726.0</v>
      </c>
      <c r="D124" s="15">
        <v>1968.0</v>
      </c>
      <c r="E124" s="15">
        <v>124.0</v>
      </c>
      <c r="F124" s="87">
        <v>77.0</v>
      </c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21.75" customHeight="1">
      <c r="A125" s="89" t="s">
        <v>216</v>
      </c>
      <c r="B125" s="15">
        <v>4207.0</v>
      </c>
      <c r="C125" s="15">
        <v>3125.0</v>
      </c>
      <c r="D125" s="15">
        <v>987.0</v>
      </c>
      <c r="E125" s="15">
        <v>61.0</v>
      </c>
      <c r="F125" s="87">
        <v>34.0</v>
      </c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21.75" customHeight="1">
      <c r="A126" s="89" t="s">
        <v>217</v>
      </c>
      <c r="B126" s="15">
        <v>13151.0</v>
      </c>
      <c r="C126" s="15">
        <v>10904.0</v>
      </c>
      <c r="D126" s="15">
        <v>2146.0</v>
      </c>
      <c r="E126" s="15">
        <v>73.0</v>
      </c>
      <c r="F126" s="87">
        <v>28.0</v>
      </c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21.75" customHeight="1">
      <c r="A127" s="89" t="s">
        <v>218</v>
      </c>
      <c r="B127" s="15">
        <v>120.0</v>
      </c>
      <c r="C127" s="15">
        <v>89.0</v>
      </c>
      <c r="D127" s="15">
        <v>30.0</v>
      </c>
      <c r="E127" s="15">
        <v>1.0</v>
      </c>
      <c r="F127" s="87">
        <v>0.0</v>
      </c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21.75" customHeight="1">
      <c r="A128" s="89" t="s">
        <v>219</v>
      </c>
      <c r="B128" s="15">
        <v>95222.0</v>
      </c>
      <c r="C128" s="15">
        <v>90543.0</v>
      </c>
      <c r="D128" s="15">
        <v>4182.0</v>
      </c>
      <c r="E128" s="15">
        <v>329.0</v>
      </c>
      <c r="F128" s="87">
        <v>168.0</v>
      </c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21.75" customHeight="1">
      <c r="A129" s="89" t="s">
        <v>220</v>
      </c>
      <c r="B129" s="15">
        <v>74505.0</v>
      </c>
      <c r="C129" s="15">
        <v>73257.0</v>
      </c>
      <c r="D129" s="15">
        <v>1219.0</v>
      </c>
      <c r="E129" s="15">
        <v>20.0</v>
      </c>
      <c r="F129" s="87">
        <v>9.0</v>
      </c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21.75" customHeight="1">
      <c r="A130" s="89" t="s">
        <v>221</v>
      </c>
      <c r="B130" s="15">
        <v>13471.0</v>
      </c>
      <c r="C130" s="15">
        <v>10597.0</v>
      </c>
      <c r="D130" s="15">
        <v>2867.0</v>
      </c>
      <c r="E130" s="15">
        <v>3.0</v>
      </c>
      <c r="F130" s="87">
        <v>4.0</v>
      </c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21.75" customHeight="1">
      <c r="A131" s="89" t="s">
        <v>222</v>
      </c>
      <c r="B131" s="15">
        <v>16298.0</v>
      </c>
      <c r="C131" s="15">
        <v>15721.0</v>
      </c>
      <c r="D131" s="15">
        <v>555.0</v>
      </c>
      <c r="E131" s="15">
        <v>11.0</v>
      </c>
      <c r="F131" s="87">
        <v>11.0</v>
      </c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21.75" customHeight="1">
      <c r="A132" s="89" t="s">
        <v>223</v>
      </c>
      <c r="B132" s="15">
        <v>57401.0</v>
      </c>
      <c r="C132" s="15">
        <v>50441.0</v>
      </c>
      <c r="D132" s="15">
        <v>6830.0</v>
      </c>
      <c r="E132" s="15">
        <v>95.0</v>
      </c>
      <c r="F132" s="87">
        <v>35.0</v>
      </c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21.75" customHeight="1">
      <c r="A133" s="89" t="s">
        <v>224</v>
      </c>
      <c r="B133" s="15">
        <v>12453.0</v>
      </c>
      <c r="C133" s="15">
        <v>11961.0</v>
      </c>
      <c r="D133" s="15">
        <v>485.0</v>
      </c>
      <c r="E133" s="15">
        <v>4.0</v>
      </c>
      <c r="F133" s="87">
        <v>3.0</v>
      </c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21.75" customHeight="1">
      <c r="A134" s="89" t="s">
        <v>225</v>
      </c>
      <c r="B134" s="15">
        <v>139163.0</v>
      </c>
      <c r="C134" s="15">
        <v>134250.0</v>
      </c>
      <c r="D134" s="15">
        <v>4794.0</v>
      </c>
      <c r="E134" s="15">
        <v>77.0</v>
      </c>
      <c r="F134" s="87">
        <v>42.0</v>
      </c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21.75" customHeight="1">
      <c r="A135" s="89" t="s">
        <v>226</v>
      </c>
      <c r="B135" s="15">
        <v>998.0</v>
      </c>
      <c r="C135" s="15">
        <v>911.0</v>
      </c>
      <c r="D135" s="15">
        <v>81.0</v>
      </c>
      <c r="E135" s="15">
        <v>3.0</v>
      </c>
      <c r="F135" s="87">
        <v>3.0</v>
      </c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21.75" customHeight="1">
      <c r="A136" s="89" t="s">
        <v>227</v>
      </c>
      <c r="B136" s="15">
        <v>9.0</v>
      </c>
      <c r="C136" s="15">
        <v>6.0</v>
      </c>
      <c r="D136" s="15">
        <v>1.0</v>
      </c>
      <c r="E136" s="15">
        <v>0.0</v>
      </c>
      <c r="F136" s="87">
        <v>2.0</v>
      </c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21.75" customHeight="1">
      <c r="A137" s="89" t="s">
        <v>228</v>
      </c>
      <c r="B137" s="15">
        <v>499.0</v>
      </c>
      <c r="C137" s="15">
        <v>270.0</v>
      </c>
      <c r="D137" s="15">
        <v>174.0</v>
      </c>
      <c r="E137" s="15">
        <v>26.0</v>
      </c>
      <c r="F137" s="87">
        <v>29.0</v>
      </c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21.75" customHeight="1">
      <c r="A138" s="89" t="s">
        <v>229</v>
      </c>
      <c r="B138" s="15">
        <v>2709.0</v>
      </c>
      <c r="C138" s="15">
        <v>1521.0</v>
      </c>
      <c r="D138" s="15">
        <v>1108.0</v>
      </c>
      <c r="E138" s="15">
        <v>53.0</v>
      </c>
      <c r="F138" s="87">
        <v>27.0</v>
      </c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21.75" customHeight="1">
      <c r="A139" s="89" t="s">
        <v>230</v>
      </c>
      <c r="B139" s="15">
        <v>422.0</v>
      </c>
      <c r="C139" s="15">
        <v>223.0</v>
      </c>
      <c r="D139" s="15">
        <v>165.0</v>
      </c>
      <c r="E139" s="15">
        <v>18.0</v>
      </c>
      <c r="F139" s="87">
        <v>16.0</v>
      </c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21.75" customHeight="1">
      <c r="A140" s="89" t="s">
        <v>231</v>
      </c>
      <c r="B140" s="15">
        <v>113.0</v>
      </c>
      <c r="C140" s="15">
        <v>96.0</v>
      </c>
      <c r="D140" s="15">
        <v>16.0</v>
      </c>
      <c r="E140" s="15">
        <v>0.0</v>
      </c>
      <c r="F140" s="87">
        <v>1.0</v>
      </c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21.75" customHeight="1">
      <c r="A141" s="89" t="s">
        <v>232</v>
      </c>
      <c r="B141" s="15">
        <v>71.0</v>
      </c>
      <c r="C141" s="15">
        <v>34.0</v>
      </c>
      <c r="D141" s="15">
        <v>34.0</v>
      </c>
      <c r="E141" s="15">
        <v>1.0</v>
      </c>
      <c r="F141" s="87">
        <v>2.0</v>
      </c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21.75" customHeight="1">
      <c r="A142" s="89" t="s">
        <v>233</v>
      </c>
      <c r="B142" s="15">
        <v>11.0</v>
      </c>
      <c r="C142" s="15">
        <v>6.0</v>
      </c>
      <c r="D142" s="15">
        <v>5.0</v>
      </c>
      <c r="E142" s="15">
        <v>0.0</v>
      </c>
      <c r="F142" s="87">
        <v>0.0</v>
      </c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21.75" customHeight="1">
      <c r="A143" s="89" t="s">
        <v>234</v>
      </c>
      <c r="B143" s="15">
        <v>2789.0</v>
      </c>
      <c r="C143" s="15">
        <v>2105.0</v>
      </c>
      <c r="D143" s="15">
        <v>639.0</v>
      </c>
      <c r="E143" s="15">
        <v>29.0</v>
      </c>
      <c r="F143" s="87">
        <v>16.0</v>
      </c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21.75" customHeight="1">
      <c r="A144" s="89" t="s">
        <v>235</v>
      </c>
      <c r="B144" s="15">
        <v>3621.0</v>
      </c>
      <c r="C144" s="15">
        <v>2042.0</v>
      </c>
      <c r="D144" s="15">
        <v>1394.0</v>
      </c>
      <c r="E144" s="15">
        <v>99.0</v>
      </c>
      <c r="F144" s="87">
        <v>86.0</v>
      </c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21.75" customHeight="1">
      <c r="A145" s="89" t="s">
        <v>236</v>
      </c>
      <c r="B145" s="15">
        <v>115.0</v>
      </c>
      <c r="C145" s="15">
        <v>95.0</v>
      </c>
      <c r="D145" s="15">
        <v>19.0</v>
      </c>
      <c r="E145" s="15">
        <v>0.0</v>
      </c>
      <c r="F145" s="87">
        <v>1.0</v>
      </c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21.75" customHeight="1">
      <c r="A146" s="89" t="s">
        <v>237</v>
      </c>
      <c r="B146" s="15">
        <v>3515.0</v>
      </c>
      <c r="C146" s="15">
        <v>2813.0</v>
      </c>
      <c r="D146" s="15">
        <v>654.0</v>
      </c>
      <c r="E146" s="15">
        <v>18.0</v>
      </c>
      <c r="F146" s="87">
        <v>30.0</v>
      </c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21.75" customHeight="1">
      <c r="A147" s="89" t="s">
        <v>238</v>
      </c>
      <c r="B147" s="15">
        <v>10369.0</v>
      </c>
      <c r="C147" s="15">
        <v>8253.0</v>
      </c>
      <c r="D147" s="15">
        <v>2013.0</v>
      </c>
      <c r="E147" s="15">
        <v>59.0</v>
      </c>
      <c r="F147" s="87">
        <v>44.0</v>
      </c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21.75" customHeight="1">
      <c r="A148" s="89" t="s">
        <v>239</v>
      </c>
      <c r="B148" s="15">
        <v>2359.0</v>
      </c>
      <c r="C148" s="15">
        <v>2328.0</v>
      </c>
      <c r="D148" s="15">
        <v>30.0</v>
      </c>
      <c r="E148" s="15">
        <v>0.0</v>
      </c>
      <c r="F148" s="87">
        <v>1.0</v>
      </c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21.75" customHeight="1">
      <c r="A149" s="89" t="s">
        <v>240</v>
      </c>
      <c r="B149" s="15">
        <v>120777.0</v>
      </c>
      <c r="C149" s="15">
        <v>111981.0</v>
      </c>
      <c r="D149" s="15">
        <v>8710.0</v>
      </c>
      <c r="E149" s="15">
        <v>69.0</v>
      </c>
      <c r="F149" s="87">
        <v>17.0</v>
      </c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21.75" customHeight="1">
      <c r="A150" s="89" t="s">
        <v>241</v>
      </c>
      <c r="B150" s="15">
        <v>2390.0</v>
      </c>
      <c r="C150" s="15">
        <v>2131.0</v>
      </c>
      <c r="D150" s="15">
        <v>254.0</v>
      </c>
      <c r="E150" s="15">
        <v>4.0</v>
      </c>
      <c r="F150" s="87">
        <v>1.0</v>
      </c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21.75" customHeight="1">
      <c r="A151" s="89" t="s">
        <v>242</v>
      </c>
      <c r="B151" s="15">
        <v>17483.0</v>
      </c>
      <c r="C151" s="15">
        <v>16599.0</v>
      </c>
      <c r="D151" s="15">
        <v>875.0</v>
      </c>
      <c r="E151" s="15">
        <v>3.0</v>
      </c>
      <c r="F151" s="87">
        <v>6.0</v>
      </c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21.75" customHeight="1">
      <c r="A152" s="89" t="s">
        <v>243</v>
      </c>
      <c r="B152" s="15">
        <v>229.0</v>
      </c>
      <c r="C152" s="15">
        <v>138.0</v>
      </c>
      <c r="D152" s="15">
        <v>76.0</v>
      </c>
      <c r="E152" s="15">
        <v>6.0</v>
      </c>
      <c r="F152" s="87">
        <v>9.0</v>
      </c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21.75" customHeight="1">
      <c r="A153" s="89" t="s">
        <v>244</v>
      </c>
      <c r="B153" s="15">
        <v>28.0</v>
      </c>
      <c r="C153" s="15">
        <v>16.0</v>
      </c>
      <c r="D153" s="15">
        <v>8.0</v>
      </c>
      <c r="E153" s="15">
        <v>2.0</v>
      </c>
      <c r="F153" s="87">
        <v>2.0</v>
      </c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21.75" customHeight="1">
      <c r="A154" s="89" t="s">
        <v>245</v>
      </c>
      <c r="B154" s="15">
        <v>62.0</v>
      </c>
      <c r="C154" s="15">
        <v>32.0</v>
      </c>
      <c r="D154" s="15">
        <v>22.0</v>
      </c>
      <c r="E154" s="15">
        <v>5.0</v>
      </c>
      <c r="F154" s="87">
        <v>3.0</v>
      </c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21.75" customHeight="1">
      <c r="A155" s="89" t="s">
        <v>246</v>
      </c>
      <c r="B155" s="15">
        <v>35.0</v>
      </c>
      <c r="C155" s="15">
        <v>24.0</v>
      </c>
      <c r="D155" s="15">
        <v>11.0</v>
      </c>
      <c r="E155" s="15">
        <v>0.0</v>
      </c>
      <c r="F155" s="87">
        <v>0.0</v>
      </c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21.75" customHeight="1">
      <c r="A156" s="89" t="s">
        <v>247</v>
      </c>
      <c r="B156" s="15">
        <v>616.0</v>
      </c>
      <c r="C156" s="15">
        <v>422.0</v>
      </c>
      <c r="D156" s="15">
        <v>191.0</v>
      </c>
      <c r="E156" s="15">
        <v>0.0</v>
      </c>
      <c r="F156" s="87">
        <v>3.0</v>
      </c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21.75" customHeight="1">
      <c r="A157" s="89" t="s">
        <v>248</v>
      </c>
      <c r="B157" s="15">
        <v>87.0</v>
      </c>
      <c r="C157" s="15">
        <v>45.0</v>
      </c>
      <c r="D157" s="15">
        <v>36.0</v>
      </c>
      <c r="E157" s="15">
        <v>2.0</v>
      </c>
      <c r="F157" s="87">
        <v>4.0</v>
      </c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21.75" customHeight="1">
      <c r="A158" s="89" t="s">
        <v>249</v>
      </c>
      <c r="B158" s="15">
        <v>218.0</v>
      </c>
      <c r="C158" s="15">
        <v>112.0</v>
      </c>
      <c r="D158" s="15">
        <v>85.0</v>
      </c>
      <c r="E158" s="15">
        <v>15.0</v>
      </c>
      <c r="F158" s="87">
        <v>6.0</v>
      </c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21.75" customHeight="1">
      <c r="A159" s="89" t="s">
        <v>250</v>
      </c>
      <c r="B159" s="15">
        <v>709.0</v>
      </c>
      <c r="C159" s="15">
        <v>417.0</v>
      </c>
      <c r="D159" s="15">
        <v>259.0</v>
      </c>
      <c r="E159" s="15">
        <v>17.0</v>
      </c>
      <c r="F159" s="87">
        <v>16.0</v>
      </c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21.75" customHeight="1">
      <c r="A160" s="89" t="s">
        <v>251</v>
      </c>
      <c r="B160" s="15">
        <v>1365.0</v>
      </c>
      <c r="C160" s="15">
        <v>1133.0</v>
      </c>
      <c r="D160" s="15">
        <v>224.0</v>
      </c>
      <c r="E160" s="15">
        <v>6.0</v>
      </c>
      <c r="F160" s="87">
        <v>2.0</v>
      </c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21.75" customHeight="1">
      <c r="A161" s="89" t="s">
        <v>252</v>
      </c>
      <c r="B161" s="15">
        <v>8261.0</v>
      </c>
      <c r="C161" s="15">
        <v>8105.0</v>
      </c>
      <c r="D161" s="15">
        <v>129.0</v>
      </c>
      <c r="E161" s="15">
        <v>14.0</v>
      </c>
      <c r="F161" s="87">
        <v>13.0</v>
      </c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21.75" customHeight="1">
      <c r="A162" s="89" t="s">
        <v>253</v>
      </c>
      <c r="B162" s="15">
        <v>1133.0</v>
      </c>
      <c r="C162" s="15">
        <v>480.0</v>
      </c>
      <c r="D162" s="15">
        <v>482.0</v>
      </c>
      <c r="E162" s="15">
        <v>91.0</v>
      </c>
      <c r="F162" s="87">
        <v>80.0</v>
      </c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21.75" customHeight="1">
      <c r="A163" s="89" t="s">
        <v>254</v>
      </c>
      <c r="B163" s="15">
        <v>97.0</v>
      </c>
      <c r="C163" s="15">
        <v>38.0</v>
      </c>
      <c r="D163" s="15">
        <v>42.0</v>
      </c>
      <c r="E163" s="15">
        <v>3.0</v>
      </c>
      <c r="F163" s="87">
        <v>14.0</v>
      </c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21.75" customHeight="1">
      <c r="A164" s="89" t="s">
        <v>255</v>
      </c>
      <c r="B164" s="15">
        <v>48.0</v>
      </c>
      <c r="C164" s="15">
        <v>20.0</v>
      </c>
      <c r="D164" s="15">
        <v>18.0</v>
      </c>
      <c r="E164" s="15">
        <v>5.0</v>
      </c>
      <c r="F164" s="87">
        <v>5.0</v>
      </c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21.75" customHeight="1">
      <c r="A165" s="89" t="s">
        <v>256</v>
      </c>
      <c r="B165" s="15">
        <v>10815.0</v>
      </c>
      <c r="C165" s="15">
        <v>6346.0</v>
      </c>
      <c r="D165" s="15">
        <v>4381.0</v>
      </c>
      <c r="E165" s="15">
        <v>38.0</v>
      </c>
      <c r="F165" s="87">
        <v>50.0</v>
      </c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21.75" customHeight="1">
      <c r="A166" s="89" t="s">
        <v>257</v>
      </c>
      <c r="B166" s="15">
        <v>354.0</v>
      </c>
      <c r="C166" s="15">
        <v>232.0</v>
      </c>
      <c r="D166" s="15">
        <v>104.0</v>
      </c>
      <c r="E166" s="15">
        <v>10.0</v>
      </c>
      <c r="F166" s="87">
        <v>8.0</v>
      </c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21.75" customHeight="1">
      <c r="A167" s="89" t="s">
        <v>258</v>
      </c>
      <c r="B167" s="15">
        <v>217.0</v>
      </c>
      <c r="C167" s="15">
        <v>124.0</v>
      </c>
      <c r="D167" s="15">
        <v>87.0</v>
      </c>
      <c r="E167" s="15">
        <v>4.0</v>
      </c>
      <c r="F167" s="87">
        <v>2.0</v>
      </c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21.75" customHeight="1">
      <c r="A168" s="89" t="s">
        <v>259</v>
      </c>
      <c r="B168" s="15">
        <v>34574.0</v>
      </c>
      <c r="C168" s="15">
        <v>31304.0</v>
      </c>
      <c r="D168" s="15">
        <v>3142.0</v>
      </c>
      <c r="E168" s="15">
        <v>63.0</v>
      </c>
      <c r="F168" s="87">
        <v>65.0</v>
      </c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21.75" customHeight="1">
      <c r="A169" s="89" t="s">
        <v>260</v>
      </c>
      <c r="B169" s="15">
        <v>3424.0</v>
      </c>
      <c r="C169" s="15">
        <v>3056.0</v>
      </c>
      <c r="D169" s="15">
        <v>311.0</v>
      </c>
      <c r="E169" s="15">
        <v>23.0</v>
      </c>
      <c r="F169" s="87">
        <v>34.0</v>
      </c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21.75" customHeight="1">
      <c r="A170" s="89" t="s">
        <v>261</v>
      </c>
      <c r="B170" s="15">
        <v>23.0</v>
      </c>
      <c r="C170" s="15">
        <v>19.0</v>
      </c>
      <c r="D170" s="15">
        <v>3.0</v>
      </c>
      <c r="E170" s="15">
        <v>1.0</v>
      </c>
      <c r="F170" s="87">
        <v>0.0</v>
      </c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21.75" customHeight="1">
      <c r="A171" s="89" t="s">
        <v>262</v>
      </c>
      <c r="B171" s="15">
        <v>9.0</v>
      </c>
      <c r="C171" s="15">
        <v>7.0</v>
      </c>
      <c r="D171" s="15">
        <v>2.0</v>
      </c>
      <c r="E171" s="15">
        <v>0.0</v>
      </c>
      <c r="F171" s="87">
        <v>0.0</v>
      </c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21.75" customHeight="1">
      <c r="A172" s="89" t="s">
        <v>263</v>
      </c>
      <c r="B172" s="15">
        <v>344.0</v>
      </c>
      <c r="C172" s="15">
        <v>252.0</v>
      </c>
      <c r="D172" s="15">
        <v>81.0</v>
      </c>
      <c r="E172" s="15">
        <v>8.0</v>
      </c>
      <c r="F172" s="87">
        <v>3.0</v>
      </c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21.75" customHeight="1">
      <c r="A173" s="89" t="s">
        <v>264</v>
      </c>
      <c r="B173" s="15">
        <v>729.0</v>
      </c>
      <c r="C173" s="15">
        <v>580.0</v>
      </c>
      <c r="D173" s="15">
        <v>125.0</v>
      </c>
      <c r="E173" s="15">
        <v>10.0</v>
      </c>
      <c r="F173" s="87">
        <v>14.0</v>
      </c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21.75" customHeight="1">
      <c r="A174" s="89" t="s">
        <v>265</v>
      </c>
      <c r="B174" s="15">
        <v>5.0</v>
      </c>
      <c r="C174" s="15">
        <v>3.0</v>
      </c>
      <c r="D174" s="15">
        <v>2.0</v>
      </c>
      <c r="E174" s="15">
        <v>0.0</v>
      </c>
      <c r="F174" s="87">
        <v>0.0</v>
      </c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21.75" customHeight="1">
      <c r="A175" s="89" t="s">
        <v>266</v>
      </c>
      <c r="B175" s="15">
        <v>12649.0</v>
      </c>
      <c r="C175" s="15">
        <v>10645.0</v>
      </c>
      <c r="D175" s="15">
        <v>1881.0</v>
      </c>
      <c r="E175" s="15">
        <v>61.0</v>
      </c>
      <c r="F175" s="87">
        <v>62.0</v>
      </c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21.75" customHeight="1">
      <c r="A176" s="89" t="s">
        <v>267</v>
      </c>
      <c r="B176" s="15">
        <v>1213.0</v>
      </c>
      <c r="C176" s="15">
        <v>935.0</v>
      </c>
      <c r="D176" s="15">
        <v>255.0</v>
      </c>
      <c r="E176" s="15">
        <v>13.0</v>
      </c>
      <c r="F176" s="87">
        <v>10.0</v>
      </c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21.75" customHeight="1">
      <c r="A177" s="89" t="s">
        <v>268</v>
      </c>
      <c r="B177" s="15">
        <v>4275.0</v>
      </c>
      <c r="C177" s="15">
        <v>4004.0</v>
      </c>
      <c r="D177" s="15">
        <v>263.0</v>
      </c>
      <c r="E177" s="15">
        <v>3.0</v>
      </c>
      <c r="F177" s="87">
        <v>5.0</v>
      </c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21.75" customHeight="1">
      <c r="A178" s="89" t="s">
        <v>269</v>
      </c>
      <c r="B178" s="15">
        <v>1321.0</v>
      </c>
      <c r="C178" s="15">
        <v>1026.0</v>
      </c>
      <c r="D178" s="15">
        <v>270.0</v>
      </c>
      <c r="E178" s="15">
        <v>9.0</v>
      </c>
      <c r="F178" s="87">
        <v>16.0</v>
      </c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21.75" customHeight="1">
      <c r="A179" s="89" t="s">
        <v>270</v>
      </c>
      <c r="B179" s="15">
        <v>133.0</v>
      </c>
      <c r="C179" s="15">
        <v>53.0</v>
      </c>
      <c r="D179" s="15">
        <v>64.0</v>
      </c>
      <c r="E179" s="15">
        <v>7.0</v>
      </c>
      <c r="F179" s="87">
        <v>9.0</v>
      </c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21.75" customHeight="1">
      <c r="A180" s="89" t="s">
        <v>271</v>
      </c>
      <c r="B180" s="15">
        <v>783.0</v>
      </c>
      <c r="C180" s="15">
        <v>472.0</v>
      </c>
      <c r="D180" s="15">
        <v>281.0</v>
      </c>
      <c r="E180" s="15">
        <v>16.0</v>
      </c>
      <c r="F180" s="87">
        <v>14.0</v>
      </c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21.75" customHeight="1">
      <c r="A181" s="89" t="s">
        <v>272</v>
      </c>
      <c r="B181" s="15">
        <v>1326.0</v>
      </c>
      <c r="C181" s="15">
        <v>881.0</v>
      </c>
      <c r="D181" s="15">
        <v>379.0</v>
      </c>
      <c r="E181" s="15">
        <v>43.0</v>
      </c>
      <c r="F181" s="87">
        <v>23.0</v>
      </c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21.75" customHeight="1">
      <c r="A182" s="89" t="s">
        <v>273</v>
      </c>
      <c r="B182" s="15">
        <v>827.0</v>
      </c>
      <c r="C182" s="15">
        <v>720.0</v>
      </c>
      <c r="D182" s="15">
        <v>94.0</v>
      </c>
      <c r="E182" s="15">
        <v>6.0</v>
      </c>
      <c r="F182" s="87">
        <v>7.0</v>
      </c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21.75" customHeight="1">
      <c r="A183" s="89" t="s">
        <v>274</v>
      </c>
      <c r="B183" s="15">
        <v>54.0</v>
      </c>
      <c r="C183" s="15">
        <v>20.0</v>
      </c>
      <c r="D183" s="15">
        <v>23.0</v>
      </c>
      <c r="E183" s="15">
        <v>5.0</v>
      </c>
      <c r="F183" s="87">
        <v>6.0</v>
      </c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21.75" customHeight="1">
      <c r="A184" s="89" t="s">
        <v>275</v>
      </c>
      <c r="B184" s="15">
        <v>10.0</v>
      </c>
      <c r="C184" s="15">
        <v>5.0</v>
      </c>
      <c r="D184" s="15">
        <v>3.0</v>
      </c>
      <c r="E184" s="15">
        <v>0.0</v>
      </c>
      <c r="F184" s="87">
        <v>2.0</v>
      </c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21.75" customHeight="1">
      <c r="A185" s="89" t="s">
        <v>276</v>
      </c>
      <c r="B185" s="15">
        <v>17.0</v>
      </c>
      <c r="C185" s="15">
        <v>4.0</v>
      </c>
      <c r="D185" s="15">
        <v>7.0</v>
      </c>
      <c r="E185" s="15">
        <v>1.0</v>
      </c>
      <c r="F185" s="87">
        <v>5.0</v>
      </c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21.75" customHeight="1">
      <c r="A186" s="89" t="s">
        <v>277</v>
      </c>
      <c r="B186" s="15">
        <v>1091.0</v>
      </c>
      <c r="C186" s="15">
        <v>796.0</v>
      </c>
      <c r="D186" s="15">
        <v>273.0</v>
      </c>
      <c r="E186" s="15">
        <v>14.0</v>
      </c>
      <c r="F186" s="87">
        <v>8.0</v>
      </c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21.75" customHeight="1">
      <c r="A187" s="89" t="s">
        <v>278</v>
      </c>
      <c r="B187" s="15">
        <v>35.0</v>
      </c>
      <c r="C187" s="15">
        <v>11.0</v>
      </c>
      <c r="D187" s="15">
        <v>16.0</v>
      </c>
      <c r="E187" s="15">
        <v>3.0</v>
      </c>
      <c r="F187" s="87">
        <v>5.0</v>
      </c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21.75" customHeight="1">
      <c r="A188" s="89" t="s">
        <v>279</v>
      </c>
      <c r="B188" s="15">
        <v>101.0</v>
      </c>
      <c r="C188" s="15">
        <v>70.0</v>
      </c>
      <c r="D188" s="15">
        <v>30.0</v>
      </c>
      <c r="E188" s="15">
        <v>0.0</v>
      </c>
      <c r="F188" s="87">
        <v>1.0</v>
      </c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21.75" customHeight="1">
      <c r="A189" s="89" t="s">
        <v>280</v>
      </c>
      <c r="B189" s="15">
        <v>3139.0</v>
      </c>
      <c r="C189" s="15">
        <v>3077.0</v>
      </c>
      <c r="D189" s="15">
        <v>60.0</v>
      </c>
      <c r="E189" s="15">
        <v>1.0</v>
      </c>
      <c r="F189" s="87">
        <v>1.0</v>
      </c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21.75" customHeight="1">
      <c r="A190" s="89" t="s">
        <v>281</v>
      </c>
      <c r="B190" s="15">
        <v>143.0</v>
      </c>
      <c r="C190" s="15">
        <v>92.0</v>
      </c>
      <c r="D190" s="15">
        <v>47.0</v>
      </c>
      <c r="E190" s="15">
        <v>4.0</v>
      </c>
      <c r="F190" s="87">
        <v>0.0</v>
      </c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21.75" customHeight="1">
      <c r="A191" s="89" t="s">
        <v>282</v>
      </c>
      <c r="B191" s="15">
        <v>1711.0</v>
      </c>
      <c r="C191" s="15">
        <v>1620.0</v>
      </c>
      <c r="D191" s="15">
        <v>90.0</v>
      </c>
      <c r="E191" s="15">
        <v>1.0</v>
      </c>
      <c r="F191" s="87">
        <v>0.0</v>
      </c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21.75" customHeight="1">
      <c r="A192" s="89" t="s">
        <v>283</v>
      </c>
      <c r="B192" s="15">
        <v>43.0</v>
      </c>
      <c r="C192" s="15">
        <v>36.0</v>
      </c>
      <c r="D192" s="15">
        <v>7.0</v>
      </c>
      <c r="E192" s="15">
        <v>0.0</v>
      </c>
      <c r="F192" s="87">
        <v>0.0</v>
      </c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21.75" customHeight="1">
      <c r="A193" s="89" t="s">
        <v>284</v>
      </c>
      <c r="B193" s="15">
        <v>1783.0</v>
      </c>
      <c r="C193" s="15">
        <v>1767.0</v>
      </c>
      <c r="D193" s="15">
        <v>16.0</v>
      </c>
      <c r="E193" s="15">
        <v>0.0</v>
      </c>
      <c r="F193" s="87">
        <v>0.0</v>
      </c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21.75" customHeight="1">
      <c r="A194" s="89" t="s">
        <v>285</v>
      </c>
      <c r="B194" s="15">
        <v>337.0</v>
      </c>
      <c r="C194" s="15">
        <v>254.0</v>
      </c>
      <c r="D194" s="15">
        <v>75.0</v>
      </c>
      <c r="E194" s="15">
        <v>4.0</v>
      </c>
      <c r="F194" s="87">
        <v>4.0</v>
      </c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21.75" customHeight="1">
      <c r="A195" s="89" t="s">
        <v>286</v>
      </c>
      <c r="B195" s="15">
        <v>19.0</v>
      </c>
      <c r="C195" s="15">
        <v>13.0</v>
      </c>
      <c r="D195" s="15">
        <v>6.0</v>
      </c>
      <c r="E195" s="15">
        <v>0.0</v>
      </c>
      <c r="F195" s="87">
        <v>0.0</v>
      </c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21.75" customHeight="1">
      <c r="A196" s="89" t="s">
        <v>287</v>
      </c>
      <c r="B196" s="15">
        <v>2302.0</v>
      </c>
      <c r="C196" s="15">
        <v>1347.0</v>
      </c>
      <c r="D196" s="15">
        <v>749.0</v>
      </c>
      <c r="E196" s="15">
        <v>64.0</v>
      </c>
      <c r="F196" s="87">
        <v>142.0</v>
      </c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21.75" customHeight="1">
      <c r="A197" s="89" t="s">
        <v>288</v>
      </c>
      <c r="B197" s="15">
        <v>572.0</v>
      </c>
      <c r="C197" s="15">
        <v>189.0</v>
      </c>
      <c r="D197" s="15">
        <v>155.0</v>
      </c>
      <c r="E197" s="15">
        <v>63.0</v>
      </c>
      <c r="F197" s="87">
        <v>165.0</v>
      </c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21.75" customHeight="1">
      <c r="A198" s="89" t="s">
        <v>289</v>
      </c>
      <c r="B198" s="15">
        <v>11.0</v>
      </c>
      <c r="C198" s="15">
        <v>3.0</v>
      </c>
      <c r="D198" s="15">
        <v>3.0</v>
      </c>
      <c r="E198" s="15">
        <v>0.0</v>
      </c>
      <c r="F198" s="87">
        <v>5.0</v>
      </c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21.75" customHeight="1">
      <c r="A199" s="89" t="s">
        <v>290</v>
      </c>
      <c r="B199" s="15">
        <v>1295.0</v>
      </c>
      <c r="C199" s="15">
        <v>1165.0</v>
      </c>
      <c r="D199" s="15">
        <v>119.0</v>
      </c>
      <c r="E199" s="15">
        <v>9.0</v>
      </c>
      <c r="F199" s="87">
        <v>2.0</v>
      </c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21.75" customHeight="1">
      <c r="A200" s="89" t="s">
        <v>291</v>
      </c>
      <c r="B200" s="15">
        <v>1242.0</v>
      </c>
      <c r="C200" s="15">
        <v>1152.0</v>
      </c>
      <c r="D200" s="15">
        <v>86.0</v>
      </c>
      <c r="E200" s="15">
        <v>2.0</v>
      </c>
      <c r="F200" s="87">
        <v>2.0</v>
      </c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21.75" customHeight="1">
      <c r="A201" s="89" t="s">
        <v>292</v>
      </c>
      <c r="B201" s="15">
        <v>1275.0</v>
      </c>
      <c r="C201" s="15">
        <v>518.0</v>
      </c>
      <c r="D201" s="15">
        <v>337.0</v>
      </c>
      <c r="E201" s="15">
        <v>114.0</v>
      </c>
      <c r="F201" s="87">
        <v>306.0</v>
      </c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21.75" customHeight="1">
      <c r="A202" s="89" t="s">
        <v>293</v>
      </c>
      <c r="B202" s="15">
        <v>125.0</v>
      </c>
      <c r="C202" s="15">
        <v>79.0</v>
      </c>
      <c r="D202" s="15">
        <v>36.0</v>
      </c>
      <c r="E202" s="15">
        <v>3.0</v>
      </c>
      <c r="F202" s="87">
        <v>7.0</v>
      </c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21.75" customHeight="1">
      <c r="A203" s="89" t="s">
        <v>294</v>
      </c>
      <c r="B203" s="15">
        <v>15.0</v>
      </c>
      <c r="C203" s="15">
        <v>7.0</v>
      </c>
      <c r="D203" s="15">
        <v>6.0</v>
      </c>
      <c r="E203" s="15">
        <v>2.0</v>
      </c>
      <c r="F203" s="87">
        <v>0.0</v>
      </c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21.75" customHeight="1">
      <c r="A204" s="89" t="s">
        <v>295</v>
      </c>
      <c r="B204" s="15">
        <v>18.0</v>
      </c>
      <c r="C204" s="15">
        <v>9.0</v>
      </c>
      <c r="D204" s="15">
        <v>6.0</v>
      </c>
      <c r="E204" s="15">
        <v>0.0</v>
      </c>
      <c r="F204" s="87">
        <v>3.0</v>
      </c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21.75" customHeight="1">
      <c r="A205" s="89" t="s">
        <v>296</v>
      </c>
      <c r="B205" s="15">
        <v>320.0</v>
      </c>
      <c r="C205" s="15">
        <v>163.0</v>
      </c>
      <c r="D205" s="15">
        <v>120.0</v>
      </c>
      <c r="E205" s="15">
        <v>10.0</v>
      </c>
      <c r="F205" s="87">
        <v>27.0</v>
      </c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21.75" customHeight="1">
      <c r="A206" s="89" t="s">
        <v>297</v>
      </c>
      <c r="B206" s="15">
        <v>84.0</v>
      </c>
      <c r="C206" s="15">
        <v>66.0</v>
      </c>
      <c r="D206" s="15">
        <v>18.0</v>
      </c>
      <c r="E206" s="15">
        <v>0.0</v>
      </c>
      <c r="F206" s="87">
        <v>0.0</v>
      </c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21.75" customHeight="1">
      <c r="A207" s="89" t="s">
        <v>298</v>
      </c>
      <c r="B207" s="15">
        <v>2465.0</v>
      </c>
      <c r="C207" s="15">
        <v>2378.0</v>
      </c>
      <c r="D207" s="15">
        <v>81.0</v>
      </c>
      <c r="E207" s="15">
        <v>5.0</v>
      </c>
      <c r="F207" s="87">
        <v>1.0</v>
      </c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21.75" customHeight="1">
      <c r="A208" s="89" t="s">
        <v>299</v>
      </c>
      <c r="B208" s="15">
        <v>1893.0</v>
      </c>
      <c r="C208" s="15">
        <v>670.0</v>
      </c>
      <c r="D208" s="15">
        <v>638.0</v>
      </c>
      <c r="E208" s="15">
        <v>131.0</v>
      </c>
      <c r="F208" s="87">
        <v>454.0</v>
      </c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21.75" customHeight="1">
      <c r="A209" s="89" t="s">
        <v>300</v>
      </c>
      <c r="B209" s="15">
        <v>33.0</v>
      </c>
      <c r="C209" s="15">
        <v>22.0</v>
      </c>
      <c r="D209" s="15">
        <v>11.0</v>
      </c>
      <c r="E209" s="15">
        <v>0.0</v>
      </c>
      <c r="F209" s="87">
        <v>0.0</v>
      </c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21.75" customHeight="1">
      <c r="A210" s="89" t="s">
        <v>301</v>
      </c>
      <c r="B210" s="15">
        <v>957.0</v>
      </c>
      <c r="C210" s="15">
        <v>746.0</v>
      </c>
      <c r="D210" s="15">
        <v>180.0</v>
      </c>
      <c r="E210" s="15">
        <v>13.0</v>
      </c>
      <c r="F210" s="87">
        <v>18.0</v>
      </c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21.75" customHeight="1">
      <c r="A211" s="89" t="s">
        <v>302</v>
      </c>
      <c r="B211" s="15">
        <v>2282.0</v>
      </c>
      <c r="C211" s="15">
        <v>1666.0</v>
      </c>
      <c r="D211" s="15">
        <v>609.0</v>
      </c>
      <c r="E211" s="15">
        <v>5.0</v>
      </c>
      <c r="F211" s="87">
        <v>2.0</v>
      </c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21.75" customHeight="1">
      <c r="A212" s="89" t="s">
        <v>303</v>
      </c>
      <c r="B212" s="15">
        <v>2709.0</v>
      </c>
      <c r="C212" s="15">
        <v>1406.0</v>
      </c>
      <c r="D212" s="15">
        <v>1292.0</v>
      </c>
      <c r="E212" s="15">
        <v>8.0</v>
      </c>
      <c r="F212" s="87">
        <v>3.0</v>
      </c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21.75" customHeight="1">
      <c r="A213" s="89" t="s">
        <v>304</v>
      </c>
      <c r="B213" s="15">
        <v>3174.0</v>
      </c>
      <c r="C213" s="15">
        <v>618.0</v>
      </c>
      <c r="D213" s="15">
        <v>2443.0</v>
      </c>
      <c r="E213" s="15">
        <v>92.0</v>
      </c>
      <c r="F213" s="87">
        <v>21.0</v>
      </c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21.75" customHeight="1">
      <c r="A214" s="89" t="s">
        <v>305</v>
      </c>
      <c r="B214" s="15">
        <v>2081.0</v>
      </c>
      <c r="C214" s="15">
        <v>551.0</v>
      </c>
      <c r="D214" s="15">
        <v>1153.0</v>
      </c>
      <c r="E214" s="15">
        <v>203.0</v>
      </c>
      <c r="F214" s="87">
        <v>174.0</v>
      </c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21.75" customHeight="1">
      <c r="A215" s="89" t="s">
        <v>306</v>
      </c>
      <c r="B215" s="15">
        <v>2451.0</v>
      </c>
      <c r="C215" s="15">
        <v>2036.0</v>
      </c>
      <c r="D215" s="15">
        <v>383.0</v>
      </c>
      <c r="E215" s="15">
        <v>20.0</v>
      </c>
      <c r="F215" s="87">
        <v>12.0</v>
      </c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21.75" customHeight="1">
      <c r="A216" s="89" t="s">
        <v>307</v>
      </c>
      <c r="B216" s="15">
        <v>56.0</v>
      </c>
      <c r="C216" s="15">
        <v>38.0</v>
      </c>
      <c r="D216" s="15">
        <v>16.0</v>
      </c>
      <c r="E216" s="15">
        <v>1.0</v>
      </c>
      <c r="F216" s="87">
        <v>1.0</v>
      </c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21.75" customHeight="1">
      <c r="A217" s="89" t="s">
        <v>308</v>
      </c>
      <c r="B217" s="15">
        <v>1517.0</v>
      </c>
      <c r="C217" s="15">
        <v>540.0</v>
      </c>
      <c r="D217" s="15">
        <v>590.0</v>
      </c>
      <c r="E217" s="15">
        <v>164.0</v>
      </c>
      <c r="F217" s="87">
        <v>223.0</v>
      </c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21.75" customHeight="1">
      <c r="A218" s="89" t="s">
        <v>309</v>
      </c>
      <c r="B218" s="15">
        <v>23955.0</v>
      </c>
      <c r="C218" s="15">
        <v>22561.0</v>
      </c>
      <c r="D218" s="15">
        <v>1354.0</v>
      </c>
      <c r="E218" s="15">
        <v>22.0</v>
      </c>
      <c r="F218" s="87">
        <v>18.0</v>
      </c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21.75" customHeight="1">
      <c r="A219" s="89" t="s">
        <v>310</v>
      </c>
      <c r="B219" s="15">
        <v>884.0</v>
      </c>
      <c r="C219" s="15">
        <v>790.0</v>
      </c>
      <c r="D219" s="15">
        <v>92.0</v>
      </c>
      <c r="E219" s="15">
        <v>0.0</v>
      </c>
      <c r="F219" s="87">
        <v>2.0</v>
      </c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21.75" customHeight="1">
      <c r="A220" s="89" t="s">
        <v>311</v>
      </c>
      <c r="B220" s="15">
        <v>13.0</v>
      </c>
      <c r="C220" s="15">
        <v>7.0</v>
      </c>
      <c r="D220" s="15">
        <v>6.0</v>
      </c>
      <c r="E220" s="15">
        <v>0.0</v>
      </c>
      <c r="F220" s="87">
        <v>0.0</v>
      </c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21.75" customHeight="1">
      <c r="A221" s="89" t="s">
        <v>312</v>
      </c>
      <c r="B221" s="15">
        <v>69.0</v>
      </c>
      <c r="C221" s="15">
        <v>38.0</v>
      </c>
      <c r="D221" s="15">
        <v>25.0</v>
      </c>
      <c r="E221" s="15">
        <v>6.0</v>
      </c>
      <c r="F221" s="87">
        <v>0.0</v>
      </c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21.75" customHeight="1">
      <c r="A222" s="89" t="s">
        <v>313</v>
      </c>
      <c r="B222" s="15">
        <v>8.0</v>
      </c>
      <c r="C222" s="15">
        <v>3.0</v>
      </c>
      <c r="D222" s="15">
        <v>5.0</v>
      </c>
      <c r="E222" s="15">
        <v>0.0</v>
      </c>
      <c r="F222" s="87">
        <v>0.0</v>
      </c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21.75" customHeight="1">
      <c r="A223" s="89" t="s">
        <v>314</v>
      </c>
      <c r="B223" s="15">
        <v>130.0</v>
      </c>
      <c r="C223" s="15">
        <v>62.0</v>
      </c>
      <c r="D223" s="15">
        <v>66.0</v>
      </c>
      <c r="E223" s="15">
        <v>2.0</v>
      </c>
      <c r="F223" s="87">
        <v>0.0</v>
      </c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21.75" customHeight="1">
      <c r="A224" s="89" t="s">
        <v>315</v>
      </c>
      <c r="B224" s="15">
        <v>17.0</v>
      </c>
      <c r="C224" s="15">
        <v>12.0</v>
      </c>
      <c r="D224" s="15">
        <v>5.0</v>
      </c>
      <c r="E224" s="15">
        <v>0.0</v>
      </c>
      <c r="F224" s="87">
        <v>0.0</v>
      </c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21.75" customHeight="1">
      <c r="A225" s="89" t="s">
        <v>316</v>
      </c>
      <c r="B225" s="15">
        <v>425.0</v>
      </c>
      <c r="C225" s="15">
        <v>279.0</v>
      </c>
      <c r="D225" s="15">
        <v>137.0</v>
      </c>
      <c r="E225" s="15">
        <v>7.0</v>
      </c>
      <c r="F225" s="87">
        <v>2.0</v>
      </c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21.75" customHeight="1">
      <c r="A226" s="89" t="s">
        <v>317</v>
      </c>
      <c r="B226" s="15">
        <v>461.0</v>
      </c>
      <c r="C226" s="15">
        <v>439.0</v>
      </c>
      <c r="D226" s="15">
        <v>20.0</v>
      </c>
      <c r="E226" s="15">
        <v>1.0</v>
      </c>
      <c r="F226" s="87">
        <v>1.0</v>
      </c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21.75" customHeight="1">
      <c r="A227" s="89" t="s">
        <v>318</v>
      </c>
      <c r="B227" s="15">
        <v>118.0</v>
      </c>
      <c r="C227" s="15">
        <v>85.0</v>
      </c>
      <c r="D227" s="15">
        <v>32.0</v>
      </c>
      <c r="E227" s="15">
        <v>1.0</v>
      </c>
      <c r="F227" s="87">
        <v>0.0</v>
      </c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21.75" customHeight="1">
      <c r="A228" s="89" t="s">
        <v>319</v>
      </c>
      <c r="B228" s="15">
        <v>5015.0</v>
      </c>
      <c r="C228" s="15">
        <v>4840.0</v>
      </c>
      <c r="D228" s="15">
        <v>143.0</v>
      </c>
      <c r="E228" s="15">
        <v>10.0</v>
      </c>
      <c r="F228" s="87">
        <v>22.0</v>
      </c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21.75" customHeight="1">
      <c r="A229" s="89" t="s">
        <v>320</v>
      </c>
      <c r="B229" s="15">
        <v>1214.0</v>
      </c>
      <c r="C229" s="15">
        <v>1110.0</v>
      </c>
      <c r="D229" s="15">
        <v>89.0</v>
      </c>
      <c r="E229" s="15">
        <v>12.0</v>
      </c>
      <c r="F229" s="87">
        <v>3.0</v>
      </c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21.75" customHeight="1">
      <c r="A230" s="89" t="s">
        <v>321</v>
      </c>
      <c r="B230" s="15">
        <v>5052.0</v>
      </c>
      <c r="C230" s="15">
        <v>4467.0</v>
      </c>
      <c r="D230" s="15">
        <v>577.0</v>
      </c>
      <c r="E230" s="15">
        <v>4.0</v>
      </c>
      <c r="F230" s="87">
        <v>4.0</v>
      </c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21.75" customHeight="1">
      <c r="A231" s="89" t="s">
        <v>322</v>
      </c>
      <c r="B231" s="15">
        <v>3277.0</v>
      </c>
      <c r="C231" s="15">
        <v>3228.0</v>
      </c>
      <c r="D231" s="15">
        <v>46.0</v>
      </c>
      <c r="E231" s="15">
        <v>2.0</v>
      </c>
      <c r="F231" s="87">
        <v>1.0</v>
      </c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21.75" customHeight="1">
      <c r="A232" s="89" t="s">
        <v>323</v>
      </c>
      <c r="B232" s="15">
        <v>9363.0</v>
      </c>
      <c r="C232" s="15">
        <v>9006.0</v>
      </c>
      <c r="D232" s="15">
        <v>347.0</v>
      </c>
      <c r="E232" s="15">
        <v>8.0</v>
      </c>
      <c r="F232" s="87">
        <v>2.0</v>
      </c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21.75" customHeight="1">
      <c r="A233" s="89" t="s">
        <v>324</v>
      </c>
      <c r="B233" s="15">
        <v>40483.0</v>
      </c>
      <c r="C233" s="15">
        <v>39173.0</v>
      </c>
      <c r="D233" s="15">
        <v>1303.0</v>
      </c>
      <c r="E233" s="15">
        <v>6.0</v>
      </c>
      <c r="F233" s="87">
        <v>1.0</v>
      </c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21.75" customHeight="1">
      <c r="A234" s="89" t="s">
        <v>325</v>
      </c>
      <c r="B234" s="15">
        <v>11527.0</v>
      </c>
      <c r="C234" s="15">
        <v>11471.0</v>
      </c>
      <c r="D234" s="15">
        <v>53.0</v>
      </c>
      <c r="E234" s="15">
        <v>2.0</v>
      </c>
      <c r="F234" s="87">
        <v>1.0</v>
      </c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21.75" customHeight="1">
      <c r="A235" s="89" t="s">
        <v>326</v>
      </c>
      <c r="B235" s="15">
        <v>3224.0</v>
      </c>
      <c r="C235" s="15">
        <v>2869.0</v>
      </c>
      <c r="D235" s="15">
        <v>355.0</v>
      </c>
      <c r="E235" s="15">
        <v>0.0</v>
      </c>
      <c r="F235" s="87">
        <v>0.0</v>
      </c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21.75" customHeight="1">
      <c r="A236" s="89" t="s">
        <v>327</v>
      </c>
      <c r="B236" s="15">
        <v>2.0</v>
      </c>
      <c r="C236" s="15">
        <v>2.0</v>
      </c>
      <c r="D236" s="15">
        <v>0.0</v>
      </c>
      <c r="E236" s="15">
        <v>0.0</v>
      </c>
      <c r="F236" s="87">
        <v>0.0</v>
      </c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21.75" customHeight="1">
      <c r="A237" s="90" t="s">
        <v>328</v>
      </c>
      <c r="B237" s="91">
        <v>708.0</v>
      </c>
      <c r="C237" s="91">
        <v>675.0</v>
      </c>
      <c r="D237" s="91">
        <v>33.0</v>
      </c>
      <c r="E237" s="91">
        <v>0.0</v>
      </c>
      <c r="F237" s="92">
        <v>0.0</v>
      </c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2"/>
      <c r="B238" s="15"/>
      <c r="C238" s="15"/>
      <c r="D238" s="15"/>
      <c r="E238" s="15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2" t="s">
        <v>96</v>
      </c>
      <c r="B239" s="2"/>
      <c r="C239" s="52"/>
      <c r="D239" s="52"/>
      <c r="E239" s="5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53" t="s">
        <v>97</v>
      </c>
      <c r="B240" s="2"/>
      <c r="C240" s="52"/>
      <c r="D240" s="52"/>
      <c r="E240" s="5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15"/>
      <c r="C241" s="15"/>
      <c r="D241" s="15"/>
      <c r="E241" s="15"/>
      <c r="F241" s="15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2"/>
      <c r="B242" s="15"/>
      <c r="C242" s="15"/>
      <c r="D242" s="15"/>
      <c r="E242" s="15"/>
      <c r="F242" s="15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2"/>
      <c r="B243" s="15"/>
      <c r="C243" s="15"/>
      <c r="D243" s="15"/>
      <c r="E243" s="15"/>
      <c r="F243" s="15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2"/>
      <c r="B244" s="15"/>
      <c r="C244" s="15"/>
      <c r="D244" s="15"/>
      <c r="E244" s="15"/>
      <c r="F244" s="15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2"/>
      <c r="B245" s="15"/>
      <c r="C245" s="15"/>
      <c r="D245" s="15"/>
      <c r="E245" s="15"/>
      <c r="F245" s="15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2"/>
      <c r="B246" s="15"/>
      <c r="C246" s="15"/>
      <c r="D246" s="15"/>
      <c r="E246" s="15"/>
      <c r="F246" s="15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2"/>
      <c r="B247" s="15"/>
      <c r="C247" s="15"/>
      <c r="D247" s="15"/>
      <c r="E247" s="15"/>
      <c r="F247" s="15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2"/>
      <c r="B248" s="15"/>
      <c r="C248" s="15"/>
      <c r="D248" s="15"/>
      <c r="E248" s="15"/>
      <c r="F248" s="15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2"/>
      <c r="B249" s="15"/>
      <c r="C249" s="15"/>
      <c r="D249" s="15"/>
      <c r="E249" s="15"/>
      <c r="F249" s="15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2"/>
      <c r="B250" s="15"/>
      <c r="C250" s="15"/>
      <c r="D250" s="15"/>
      <c r="E250" s="15"/>
      <c r="F250" s="15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2"/>
      <c r="B251" s="15"/>
      <c r="C251" s="15"/>
      <c r="D251" s="15"/>
      <c r="E251" s="15"/>
      <c r="F251" s="15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2"/>
      <c r="B252" s="15"/>
      <c r="C252" s="15"/>
      <c r="D252" s="15"/>
      <c r="E252" s="15"/>
      <c r="F252" s="15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2"/>
      <c r="B253" s="15"/>
      <c r="C253" s="15"/>
      <c r="D253" s="15"/>
      <c r="E253" s="15"/>
      <c r="F253" s="15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2"/>
      <c r="B254" s="15"/>
      <c r="C254" s="15"/>
      <c r="D254" s="15"/>
      <c r="E254" s="15"/>
      <c r="F254" s="15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2"/>
      <c r="B255" s="15"/>
      <c r="C255" s="15"/>
      <c r="D255" s="15"/>
      <c r="E255" s="15"/>
      <c r="F255" s="15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2"/>
      <c r="B256" s="15"/>
      <c r="C256" s="15"/>
      <c r="D256" s="15"/>
      <c r="E256" s="15"/>
      <c r="F256" s="15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2"/>
      <c r="B257" s="15"/>
      <c r="C257" s="15"/>
      <c r="D257" s="15"/>
      <c r="E257" s="15"/>
      <c r="F257" s="15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2"/>
      <c r="B258" s="15"/>
      <c r="C258" s="15"/>
      <c r="D258" s="15"/>
      <c r="E258" s="15"/>
      <c r="F258" s="15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>
      <c r="A259" s="2"/>
      <c r="B259" s="15"/>
      <c r="C259" s="15"/>
      <c r="D259" s="15"/>
      <c r="E259" s="15"/>
      <c r="F259" s="15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customHeight="1">
      <c r="A260" s="2"/>
      <c r="B260" s="15"/>
      <c r="C260" s="15"/>
      <c r="D260" s="15"/>
      <c r="E260" s="15"/>
      <c r="F260" s="15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customHeight="1">
      <c r="A261" s="2"/>
      <c r="B261" s="15"/>
      <c r="C261" s="15"/>
      <c r="D261" s="15"/>
      <c r="E261" s="15"/>
      <c r="F261" s="15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customHeight="1">
      <c r="A262" s="2"/>
      <c r="B262" s="15"/>
      <c r="C262" s="15"/>
      <c r="D262" s="15"/>
      <c r="E262" s="15"/>
      <c r="F262" s="15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customHeight="1">
      <c r="A263" s="2"/>
      <c r="B263" s="15"/>
      <c r="C263" s="15"/>
      <c r="D263" s="15"/>
      <c r="E263" s="15"/>
      <c r="F263" s="15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customHeight="1">
      <c r="A264" s="2"/>
      <c r="B264" s="15"/>
      <c r="C264" s="15"/>
      <c r="D264" s="15"/>
      <c r="E264" s="15"/>
      <c r="F264" s="15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customHeight="1">
      <c r="A265" s="2"/>
      <c r="B265" s="15"/>
      <c r="C265" s="15"/>
      <c r="D265" s="15"/>
      <c r="E265" s="15"/>
      <c r="F265" s="15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customHeight="1">
      <c r="A266" s="2"/>
      <c r="B266" s="15"/>
      <c r="C266" s="15"/>
      <c r="D266" s="15"/>
      <c r="E266" s="15"/>
      <c r="F266" s="15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customHeight="1">
      <c r="A267" s="2"/>
      <c r="B267" s="15"/>
      <c r="C267" s="15"/>
      <c r="D267" s="15"/>
      <c r="E267" s="15"/>
      <c r="F267" s="15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customHeight="1">
      <c r="A268" s="2"/>
      <c r="B268" s="15"/>
      <c r="C268" s="15"/>
      <c r="D268" s="15"/>
      <c r="E268" s="15"/>
      <c r="F268" s="15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customHeight="1">
      <c r="A269" s="2"/>
      <c r="B269" s="15"/>
      <c r="C269" s="15"/>
      <c r="D269" s="15"/>
      <c r="E269" s="15"/>
      <c r="F269" s="15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customHeight="1">
      <c r="A270" s="2"/>
      <c r="B270" s="15"/>
      <c r="C270" s="15"/>
      <c r="D270" s="15"/>
      <c r="E270" s="15"/>
      <c r="F270" s="15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customHeight="1">
      <c r="A271" s="2"/>
      <c r="B271" s="15"/>
      <c r="C271" s="15"/>
      <c r="D271" s="15"/>
      <c r="E271" s="15"/>
      <c r="F271" s="15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customHeight="1">
      <c r="A272" s="2"/>
      <c r="B272" s="15"/>
      <c r="C272" s="15"/>
      <c r="D272" s="15"/>
      <c r="E272" s="15"/>
      <c r="F272" s="15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>
      <c r="A273" s="2"/>
      <c r="B273" s="15"/>
      <c r="C273" s="15"/>
      <c r="D273" s="15"/>
      <c r="E273" s="15"/>
      <c r="F273" s="15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>
      <c r="A274" s="2"/>
      <c r="B274" s="15"/>
      <c r="C274" s="15"/>
      <c r="D274" s="15"/>
      <c r="E274" s="15"/>
      <c r="F274" s="15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>
      <c r="A275" s="2"/>
      <c r="B275" s="15"/>
      <c r="C275" s="15"/>
      <c r="D275" s="15"/>
      <c r="E275" s="15"/>
      <c r="F275" s="15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>
      <c r="A276" s="2"/>
      <c r="B276" s="15"/>
      <c r="C276" s="15"/>
      <c r="D276" s="15"/>
      <c r="E276" s="15"/>
      <c r="F276" s="15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>
      <c r="A277" s="2"/>
      <c r="B277" s="15"/>
      <c r="C277" s="15"/>
      <c r="D277" s="15"/>
      <c r="E277" s="15"/>
      <c r="F277" s="15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>
      <c r="A278" s="2"/>
      <c r="B278" s="15"/>
      <c r="C278" s="15"/>
      <c r="D278" s="15"/>
      <c r="E278" s="15"/>
      <c r="F278" s="15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>
      <c r="A279" s="2"/>
      <c r="B279" s="15"/>
      <c r="C279" s="15"/>
      <c r="D279" s="15"/>
      <c r="E279" s="15"/>
      <c r="F279" s="15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>
      <c r="A280" s="2"/>
      <c r="B280" s="15"/>
      <c r="C280" s="15"/>
      <c r="D280" s="15"/>
      <c r="E280" s="15"/>
      <c r="F280" s="15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>
      <c r="A281" s="2"/>
      <c r="B281" s="15"/>
      <c r="C281" s="15"/>
      <c r="D281" s="15"/>
      <c r="E281" s="15"/>
      <c r="F281" s="15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>
      <c r="A282" s="2"/>
      <c r="B282" s="15"/>
      <c r="C282" s="15"/>
      <c r="D282" s="15"/>
      <c r="E282" s="15"/>
      <c r="F282" s="15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>
      <c r="A283" s="2"/>
      <c r="B283" s="15"/>
      <c r="C283" s="15"/>
      <c r="D283" s="15"/>
      <c r="E283" s="15"/>
      <c r="F283" s="15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>
      <c r="A284" s="2"/>
      <c r="B284" s="15"/>
      <c r="C284" s="15"/>
      <c r="D284" s="15"/>
      <c r="E284" s="15"/>
      <c r="F284" s="15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>
      <c r="A285" s="2"/>
      <c r="B285" s="15"/>
      <c r="C285" s="15"/>
      <c r="D285" s="15"/>
      <c r="E285" s="15"/>
      <c r="F285" s="15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>
      <c r="A286" s="2"/>
      <c r="B286" s="15"/>
      <c r="C286" s="15"/>
      <c r="D286" s="15"/>
      <c r="E286" s="15"/>
      <c r="F286" s="15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>
      <c r="A287" s="2"/>
      <c r="B287" s="15"/>
      <c r="C287" s="15"/>
      <c r="D287" s="15"/>
      <c r="E287" s="15"/>
      <c r="F287" s="15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>
      <c r="A288" s="2"/>
      <c r="B288" s="15"/>
      <c r="C288" s="15"/>
      <c r="D288" s="15"/>
      <c r="E288" s="15"/>
      <c r="F288" s="15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>
      <c r="A289" s="2"/>
      <c r="B289" s="15"/>
      <c r="C289" s="15"/>
      <c r="D289" s="15"/>
      <c r="E289" s="15"/>
      <c r="F289" s="15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>
      <c r="A290" s="2"/>
      <c r="B290" s="15"/>
      <c r="C290" s="15"/>
      <c r="D290" s="15"/>
      <c r="E290" s="15"/>
      <c r="F290" s="15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>
      <c r="A291" s="2"/>
      <c r="B291" s="15"/>
      <c r="C291" s="15"/>
      <c r="D291" s="15"/>
      <c r="E291" s="15"/>
      <c r="F291" s="15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>
      <c r="A292" s="2"/>
      <c r="B292" s="15"/>
      <c r="C292" s="15"/>
      <c r="D292" s="15"/>
      <c r="E292" s="15"/>
      <c r="F292" s="15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>
      <c r="A293" s="2"/>
      <c r="B293" s="15"/>
      <c r="C293" s="15"/>
      <c r="D293" s="15"/>
      <c r="E293" s="15"/>
      <c r="F293" s="15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>
      <c r="A294" s="2"/>
      <c r="B294" s="15"/>
      <c r="C294" s="15"/>
      <c r="D294" s="15"/>
      <c r="E294" s="15"/>
      <c r="F294" s="15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>
      <c r="A295" s="2"/>
      <c r="B295" s="15"/>
      <c r="C295" s="15"/>
      <c r="D295" s="15"/>
      <c r="E295" s="15"/>
      <c r="F295" s="15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>
      <c r="A296" s="2"/>
      <c r="B296" s="15"/>
      <c r="C296" s="15"/>
      <c r="D296" s="15"/>
      <c r="E296" s="15"/>
      <c r="F296" s="15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>
      <c r="A297" s="2"/>
      <c r="B297" s="15"/>
      <c r="C297" s="15"/>
      <c r="D297" s="15"/>
      <c r="E297" s="15"/>
      <c r="F297" s="15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>
      <c r="A298" s="2"/>
      <c r="B298" s="15"/>
      <c r="C298" s="15"/>
      <c r="D298" s="15"/>
      <c r="E298" s="15"/>
      <c r="F298" s="15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>
      <c r="A299" s="2"/>
      <c r="B299" s="15"/>
      <c r="C299" s="15"/>
      <c r="D299" s="15"/>
      <c r="E299" s="15"/>
      <c r="F299" s="15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>
      <c r="A300" s="2"/>
      <c r="B300" s="15"/>
      <c r="C300" s="15"/>
      <c r="D300" s="15"/>
      <c r="E300" s="15"/>
      <c r="F300" s="15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>
      <c r="A301" s="2"/>
      <c r="B301" s="15"/>
      <c r="C301" s="15"/>
      <c r="D301" s="15"/>
      <c r="E301" s="15"/>
      <c r="F301" s="15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>
      <c r="A302" s="2"/>
      <c r="B302" s="15"/>
      <c r="C302" s="15"/>
      <c r="D302" s="15"/>
      <c r="E302" s="15"/>
      <c r="F302" s="15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2"/>
      <c r="B303" s="15"/>
      <c r="C303" s="15"/>
      <c r="D303" s="15"/>
      <c r="E303" s="15"/>
      <c r="F303" s="15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>
      <c r="A304" s="2"/>
      <c r="B304" s="15"/>
      <c r="C304" s="15"/>
      <c r="D304" s="15"/>
      <c r="E304" s="15"/>
      <c r="F304" s="15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>
      <c r="A305" s="2"/>
      <c r="B305" s="15"/>
      <c r="C305" s="15"/>
      <c r="D305" s="15"/>
      <c r="E305" s="15"/>
      <c r="F305" s="15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>
      <c r="A306" s="2"/>
      <c r="B306" s="15"/>
      <c r="C306" s="15"/>
      <c r="D306" s="15"/>
      <c r="E306" s="15"/>
      <c r="F306" s="15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>
      <c r="A307" s="2"/>
      <c r="B307" s="15"/>
      <c r="C307" s="15"/>
      <c r="D307" s="15"/>
      <c r="E307" s="15"/>
      <c r="F307" s="15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>
      <c r="A308" s="2"/>
      <c r="B308" s="15"/>
      <c r="C308" s="15"/>
      <c r="D308" s="15"/>
      <c r="E308" s="15"/>
      <c r="F308" s="15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>
      <c r="A309" s="2"/>
      <c r="B309" s="15"/>
      <c r="C309" s="15"/>
      <c r="D309" s="15"/>
      <c r="E309" s="15"/>
      <c r="F309" s="15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>
      <c r="A310" s="2"/>
      <c r="B310" s="15"/>
      <c r="C310" s="15"/>
      <c r="D310" s="15"/>
      <c r="E310" s="15"/>
      <c r="F310" s="15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>
      <c r="A311" s="2"/>
      <c r="B311" s="15"/>
      <c r="C311" s="15"/>
      <c r="D311" s="15"/>
      <c r="E311" s="15"/>
      <c r="F311" s="15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>
      <c r="A312" s="2"/>
      <c r="B312" s="15"/>
      <c r="C312" s="15"/>
      <c r="D312" s="15"/>
      <c r="E312" s="15"/>
      <c r="F312" s="15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>
      <c r="A313" s="2"/>
      <c r="B313" s="15"/>
      <c r="C313" s="15"/>
      <c r="D313" s="15"/>
      <c r="E313" s="15"/>
      <c r="F313" s="15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>
      <c r="A314" s="2"/>
      <c r="B314" s="15"/>
      <c r="C314" s="15"/>
      <c r="D314" s="15"/>
      <c r="E314" s="15"/>
      <c r="F314" s="15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>
      <c r="A315" s="2"/>
      <c r="B315" s="15"/>
      <c r="C315" s="15"/>
      <c r="D315" s="15"/>
      <c r="E315" s="15"/>
      <c r="F315" s="15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>
      <c r="A316" s="2"/>
      <c r="B316" s="15"/>
      <c r="C316" s="15"/>
      <c r="D316" s="15"/>
      <c r="E316" s="15"/>
      <c r="F316" s="15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>
      <c r="A317" s="2"/>
      <c r="B317" s="15"/>
      <c r="C317" s="15"/>
      <c r="D317" s="15"/>
      <c r="E317" s="15"/>
      <c r="F317" s="15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>
      <c r="A318" s="2"/>
      <c r="B318" s="15"/>
      <c r="C318" s="15"/>
      <c r="D318" s="15"/>
      <c r="E318" s="15"/>
      <c r="F318" s="15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>
      <c r="A319" s="2"/>
      <c r="B319" s="15"/>
      <c r="C319" s="15"/>
      <c r="D319" s="15"/>
      <c r="E319" s="15"/>
      <c r="F319" s="15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>
      <c r="A320" s="2"/>
      <c r="B320" s="15"/>
      <c r="C320" s="15"/>
      <c r="D320" s="15"/>
      <c r="E320" s="15"/>
      <c r="F320" s="15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>
      <c r="A321" s="2"/>
      <c r="B321" s="15"/>
      <c r="C321" s="15"/>
      <c r="D321" s="15"/>
      <c r="E321" s="15"/>
      <c r="F321" s="15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5.75" customHeight="1">
      <c r="A322" s="2"/>
      <c r="B322" s="15"/>
      <c r="C322" s="15"/>
      <c r="D322" s="15"/>
      <c r="E322" s="15"/>
      <c r="F322" s="15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5.75" customHeight="1">
      <c r="A323" s="2"/>
      <c r="B323" s="15"/>
      <c r="C323" s="15"/>
      <c r="D323" s="15"/>
      <c r="E323" s="15"/>
      <c r="F323" s="15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5.75" customHeight="1">
      <c r="A324" s="2"/>
      <c r="B324" s="15"/>
      <c r="C324" s="15"/>
      <c r="D324" s="15"/>
      <c r="E324" s="15"/>
      <c r="F324" s="15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5.75" customHeight="1">
      <c r="A325" s="2"/>
      <c r="B325" s="15"/>
      <c r="C325" s="15"/>
      <c r="D325" s="15"/>
      <c r="E325" s="15"/>
      <c r="F325" s="15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5.75" customHeight="1">
      <c r="A326" s="2"/>
      <c r="B326" s="15"/>
      <c r="C326" s="15"/>
      <c r="D326" s="15"/>
      <c r="E326" s="15"/>
      <c r="F326" s="15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5.75" customHeight="1">
      <c r="A327" s="2"/>
      <c r="B327" s="15"/>
      <c r="C327" s="15"/>
      <c r="D327" s="15"/>
      <c r="E327" s="15"/>
      <c r="F327" s="15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5.75" customHeight="1">
      <c r="A328" s="2"/>
      <c r="B328" s="15"/>
      <c r="C328" s="15"/>
      <c r="D328" s="15"/>
      <c r="E328" s="15"/>
      <c r="F328" s="15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5.75" customHeight="1">
      <c r="A329" s="2"/>
      <c r="B329" s="15"/>
      <c r="C329" s="15"/>
      <c r="D329" s="15"/>
      <c r="E329" s="15"/>
      <c r="F329" s="15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5.75" customHeight="1">
      <c r="A330" s="2"/>
      <c r="B330" s="15"/>
      <c r="C330" s="15"/>
      <c r="D330" s="15"/>
      <c r="E330" s="15"/>
      <c r="F330" s="15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5.75" customHeight="1">
      <c r="A331" s="2"/>
      <c r="B331" s="15"/>
      <c r="C331" s="15"/>
      <c r="D331" s="15"/>
      <c r="E331" s="15"/>
      <c r="F331" s="15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5.75" customHeight="1">
      <c r="A332" s="2"/>
      <c r="B332" s="15"/>
      <c r="C332" s="15"/>
      <c r="D332" s="15"/>
      <c r="E332" s="15"/>
      <c r="F332" s="15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5.75" customHeight="1">
      <c r="A333" s="2"/>
      <c r="B333" s="15"/>
      <c r="C333" s="15"/>
      <c r="D333" s="15"/>
      <c r="E333" s="15"/>
      <c r="F333" s="15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5.75" customHeight="1">
      <c r="A334" s="2"/>
      <c r="B334" s="15"/>
      <c r="C334" s="15"/>
      <c r="D334" s="15"/>
      <c r="E334" s="15"/>
      <c r="F334" s="15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5.75" customHeight="1">
      <c r="A335" s="2"/>
      <c r="B335" s="15"/>
      <c r="C335" s="15"/>
      <c r="D335" s="15"/>
      <c r="E335" s="15"/>
      <c r="F335" s="15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5.75" customHeight="1">
      <c r="A336" s="2"/>
      <c r="B336" s="15"/>
      <c r="C336" s="15"/>
      <c r="D336" s="15"/>
      <c r="E336" s="15"/>
      <c r="F336" s="15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5.75" customHeight="1">
      <c r="A337" s="2"/>
      <c r="B337" s="15"/>
      <c r="C337" s="15"/>
      <c r="D337" s="15"/>
      <c r="E337" s="15"/>
      <c r="F337" s="15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5.75" customHeight="1">
      <c r="A338" s="2"/>
      <c r="B338" s="15"/>
      <c r="C338" s="15"/>
      <c r="D338" s="15"/>
      <c r="E338" s="15"/>
      <c r="F338" s="15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5.75" customHeight="1">
      <c r="A339" s="2"/>
      <c r="B339" s="15"/>
      <c r="C339" s="15"/>
      <c r="D339" s="15"/>
      <c r="E339" s="15"/>
      <c r="F339" s="15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5.75" customHeight="1">
      <c r="A340" s="2"/>
      <c r="B340" s="15"/>
      <c r="C340" s="15"/>
      <c r="D340" s="15"/>
      <c r="E340" s="15"/>
      <c r="F340" s="15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5.75" customHeight="1">
      <c r="A341" s="2"/>
      <c r="B341" s="15"/>
      <c r="C341" s="15"/>
      <c r="D341" s="15"/>
      <c r="E341" s="15"/>
      <c r="F341" s="15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>
      <c r="A342" s="2"/>
      <c r="B342" s="15"/>
      <c r="C342" s="15"/>
      <c r="D342" s="15"/>
      <c r="E342" s="15"/>
      <c r="F342" s="15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>
      <c r="A343" s="2"/>
      <c r="B343" s="15"/>
      <c r="C343" s="15"/>
      <c r="D343" s="15"/>
      <c r="E343" s="15"/>
      <c r="F343" s="15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>
      <c r="A344" s="2"/>
      <c r="B344" s="15"/>
      <c r="C344" s="15"/>
      <c r="D344" s="15"/>
      <c r="E344" s="15"/>
      <c r="F344" s="15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>
      <c r="A345" s="2"/>
      <c r="B345" s="15"/>
      <c r="C345" s="15"/>
      <c r="D345" s="15"/>
      <c r="E345" s="15"/>
      <c r="F345" s="15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>
      <c r="A346" s="2"/>
      <c r="B346" s="15"/>
      <c r="C346" s="15"/>
      <c r="D346" s="15"/>
      <c r="E346" s="15"/>
      <c r="F346" s="15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>
      <c r="A347" s="2"/>
      <c r="B347" s="15"/>
      <c r="C347" s="15"/>
      <c r="D347" s="15"/>
      <c r="E347" s="15"/>
      <c r="F347" s="15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>
      <c r="A348" s="2"/>
      <c r="B348" s="15"/>
      <c r="C348" s="15"/>
      <c r="D348" s="15"/>
      <c r="E348" s="15"/>
      <c r="F348" s="15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>
      <c r="A349" s="2"/>
      <c r="B349" s="15"/>
      <c r="C349" s="15"/>
      <c r="D349" s="15"/>
      <c r="E349" s="15"/>
      <c r="F349" s="15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>
      <c r="A350" s="2"/>
      <c r="B350" s="15"/>
      <c r="C350" s="15"/>
      <c r="D350" s="15"/>
      <c r="E350" s="15"/>
      <c r="F350" s="15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>
      <c r="A351" s="2"/>
      <c r="B351" s="15"/>
      <c r="C351" s="15"/>
      <c r="D351" s="15"/>
      <c r="E351" s="15"/>
      <c r="F351" s="15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>
      <c r="A352" s="2"/>
      <c r="B352" s="15"/>
      <c r="C352" s="15"/>
      <c r="D352" s="15"/>
      <c r="E352" s="15"/>
      <c r="F352" s="15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>
      <c r="A353" s="2"/>
      <c r="B353" s="15"/>
      <c r="C353" s="15"/>
      <c r="D353" s="15"/>
      <c r="E353" s="15"/>
      <c r="F353" s="15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>
      <c r="A354" s="2"/>
      <c r="B354" s="15"/>
      <c r="C354" s="15"/>
      <c r="D354" s="15"/>
      <c r="E354" s="15"/>
      <c r="F354" s="15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>
      <c r="A355" s="2"/>
      <c r="B355" s="15"/>
      <c r="C355" s="15"/>
      <c r="D355" s="15"/>
      <c r="E355" s="15"/>
      <c r="F355" s="15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>
      <c r="A356" s="2"/>
      <c r="B356" s="15"/>
      <c r="C356" s="15"/>
      <c r="D356" s="15"/>
      <c r="E356" s="15"/>
      <c r="F356" s="15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>
      <c r="A357" s="2"/>
      <c r="B357" s="15"/>
      <c r="C357" s="15"/>
      <c r="D357" s="15"/>
      <c r="E357" s="15"/>
      <c r="F357" s="15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>
      <c r="A358" s="2"/>
      <c r="B358" s="15"/>
      <c r="C358" s="15"/>
      <c r="D358" s="15"/>
      <c r="E358" s="15"/>
      <c r="F358" s="15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>
      <c r="A359" s="2"/>
      <c r="B359" s="15"/>
      <c r="C359" s="15"/>
      <c r="D359" s="15"/>
      <c r="E359" s="15"/>
      <c r="F359" s="15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>
      <c r="A360" s="2"/>
      <c r="B360" s="15"/>
      <c r="C360" s="15"/>
      <c r="D360" s="15"/>
      <c r="E360" s="15"/>
      <c r="F360" s="15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>
      <c r="A361" s="2"/>
      <c r="B361" s="15"/>
      <c r="C361" s="15"/>
      <c r="D361" s="15"/>
      <c r="E361" s="15"/>
      <c r="F361" s="15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>
      <c r="A362" s="2"/>
      <c r="B362" s="15"/>
      <c r="C362" s="15"/>
      <c r="D362" s="15"/>
      <c r="E362" s="15"/>
      <c r="F362" s="15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>
      <c r="A363" s="2"/>
      <c r="B363" s="15"/>
      <c r="C363" s="15"/>
      <c r="D363" s="15"/>
      <c r="E363" s="15"/>
      <c r="F363" s="15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>
      <c r="A364" s="2"/>
      <c r="B364" s="15"/>
      <c r="C364" s="15"/>
      <c r="D364" s="15"/>
      <c r="E364" s="15"/>
      <c r="F364" s="15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>
      <c r="A365" s="2"/>
      <c r="B365" s="15"/>
      <c r="C365" s="15"/>
      <c r="D365" s="15"/>
      <c r="E365" s="15"/>
      <c r="F365" s="15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>
      <c r="A366" s="2"/>
      <c r="B366" s="15"/>
      <c r="C366" s="15"/>
      <c r="D366" s="15"/>
      <c r="E366" s="15"/>
      <c r="F366" s="15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>
      <c r="A367" s="2"/>
      <c r="B367" s="15"/>
      <c r="C367" s="15"/>
      <c r="D367" s="15"/>
      <c r="E367" s="15"/>
      <c r="F367" s="15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>
      <c r="A368" s="2"/>
      <c r="B368" s="15"/>
      <c r="C368" s="15"/>
      <c r="D368" s="15"/>
      <c r="E368" s="15"/>
      <c r="F368" s="15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>
      <c r="A369" s="2"/>
      <c r="B369" s="15"/>
      <c r="C369" s="15"/>
      <c r="D369" s="15"/>
      <c r="E369" s="15"/>
      <c r="F369" s="15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>
      <c r="A370" s="2"/>
      <c r="B370" s="15"/>
      <c r="C370" s="15"/>
      <c r="D370" s="15"/>
      <c r="E370" s="15"/>
      <c r="F370" s="15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>
      <c r="A371" s="2"/>
      <c r="B371" s="15"/>
      <c r="C371" s="15"/>
      <c r="D371" s="15"/>
      <c r="E371" s="15"/>
      <c r="F371" s="15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>
      <c r="A372" s="2"/>
      <c r="B372" s="15"/>
      <c r="C372" s="15"/>
      <c r="D372" s="15"/>
      <c r="E372" s="15"/>
      <c r="F372" s="15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>
      <c r="A373" s="2"/>
      <c r="B373" s="15"/>
      <c r="C373" s="15"/>
      <c r="D373" s="15"/>
      <c r="E373" s="15"/>
      <c r="F373" s="15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>
      <c r="A374" s="2"/>
      <c r="B374" s="15"/>
      <c r="C374" s="15"/>
      <c r="D374" s="15"/>
      <c r="E374" s="15"/>
      <c r="F374" s="15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>
      <c r="A375" s="2"/>
      <c r="B375" s="15"/>
      <c r="C375" s="15"/>
      <c r="D375" s="15"/>
      <c r="E375" s="15"/>
      <c r="F375" s="15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>
      <c r="A376" s="2"/>
      <c r="B376" s="15"/>
      <c r="C376" s="15"/>
      <c r="D376" s="15"/>
      <c r="E376" s="15"/>
      <c r="F376" s="15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>
      <c r="A377" s="2"/>
      <c r="B377" s="15"/>
      <c r="C377" s="15"/>
      <c r="D377" s="15"/>
      <c r="E377" s="15"/>
      <c r="F377" s="15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>
      <c r="A378" s="2"/>
      <c r="B378" s="15"/>
      <c r="C378" s="15"/>
      <c r="D378" s="15"/>
      <c r="E378" s="15"/>
      <c r="F378" s="15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>
      <c r="A379" s="2"/>
      <c r="B379" s="15"/>
      <c r="C379" s="15"/>
      <c r="D379" s="15"/>
      <c r="E379" s="15"/>
      <c r="F379" s="15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>
      <c r="A380" s="2"/>
      <c r="B380" s="15"/>
      <c r="C380" s="15"/>
      <c r="D380" s="15"/>
      <c r="E380" s="15"/>
      <c r="F380" s="15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>
      <c r="A381" s="2"/>
      <c r="B381" s="15"/>
      <c r="C381" s="15"/>
      <c r="D381" s="15"/>
      <c r="E381" s="15"/>
      <c r="F381" s="15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>
      <c r="A382" s="2"/>
      <c r="B382" s="15"/>
      <c r="C382" s="15"/>
      <c r="D382" s="15"/>
      <c r="E382" s="15"/>
      <c r="F382" s="15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>
      <c r="A383" s="2"/>
      <c r="B383" s="15"/>
      <c r="C383" s="15"/>
      <c r="D383" s="15"/>
      <c r="E383" s="15"/>
      <c r="F383" s="15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>
      <c r="A384" s="2"/>
      <c r="B384" s="15"/>
      <c r="C384" s="15"/>
      <c r="D384" s="15"/>
      <c r="E384" s="15"/>
      <c r="F384" s="15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>
      <c r="A385" s="2"/>
      <c r="B385" s="15"/>
      <c r="C385" s="15"/>
      <c r="D385" s="15"/>
      <c r="E385" s="15"/>
      <c r="F385" s="15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>
      <c r="A386" s="2"/>
      <c r="B386" s="15"/>
      <c r="C386" s="15"/>
      <c r="D386" s="15"/>
      <c r="E386" s="15"/>
      <c r="F386" s="15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>
      <c r="A387" s="2"/>
      <c r="B387" s="15"/>
      <c r="C387" s="15"/>
      <c r="D387" s="15"/>
      <c r="E387" s="15"/>
      <c r="F387" s="15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>
      <c r="A388" s="2"/>
      <c r="B388" s="15"/>
      <c r="C388" s="15"/>
      <c r="D388" s="15"/>
      <c r="E388" s="15"/>
      <c r="F388" s="15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>
      <c r="A389" s="2"/>
      <c r="B389" s="15"/>
      <c r="C389" s="15"/>
      <c r="D389" s="15"/>
      <c r="E389" s="15"/>
      <c r="F389" s="15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>
      <c r="A390" s="2"/>
      <c r="B390" s="15"/>
      <c r="C390" s="15"/>
      <c r="D390" s="15"/>
      <c r="E390" s="15"/>
      <c r="F390" s="15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>
      <c r="A391" s="2"/>
      <c r="B391" s="15"/>
      <c r="C391" s="15"/>
      <c r="D391" s="15"/>
      <c r="E391" s="15"/>
      <c r="F391" s="15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>
      <c r="A392" s="2"/>
      <c r="B392" s="15"/>
      <c r="C392" s="15"/>
      <c r="D392" s="15"/>
      <c r="E392" s="15"/>
      <c r="F392" s="15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>
      <c r="A393" s="2"/>
      <c r="B393" s="15"/>
      <c r="C393" s="15"/>
      <c r="D393" s="15"/>
      <c r="E393" s="15"/>
      <c r="F393" s="15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>
      <c r="A394" s="2"/>
      <c r="B394" s="15"/>
      <c r="C394" s="15"/>
      <c r="D394" s="15"/>
      <c r="E394" s="15"/>
      <c r="F394" s="15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>
      <c r="A395" s="2"/>
      <c r="B395" s="15"/>
      <c r="C395" s="15"/>
      <c r="D395" s="15"/>
      <c r="E395" s="15"/>
      <c r="F395" s="15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>
      <c r="A396" s="2"/>
      <c r="B396" s="15"/>
      <c r="C396" s="15"/>
      <c r="D396" s="15"/>
      <c r="E396" s="15"/>
      <c r="F396" s="15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>
      <c r="A397" s="2"/>
      <c r="B397" s="15"/>
      <c r="C397" s="15"/>
      <c r="D397" s="15"/>
      <c r="E397" s="15"/>
      <c r="F397" s="15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>
      <c r="A398" s="2"/>
      <c r="B398" s="15"/>
      <c r="C398" s="15"/>
      <c r="D398" s="15"/>
      <c r="E398" s="15"/>
      <c r="F398" s="15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>
      <c r="A399" s="2"/>
      <c r="B399" s="15"/>
      <c r="C399" s="15"/>
      <c r="D399" s="15"/>
      <c r="E399" s="15"/>
      <c r="F399" s="15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>
      <c r="A400" s="2"/>
      <c r="B400" s="15"/>
      <c r="C400" s="15"/>
      <c r="D400" s="15"/>
      <c r="E400" s="15"/>
      <c r="F400" s="15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>
      <c r="A401" s="2"/>
      <c r="B401" s="15"/>
      <c r="C401" s="15"/>
      <c r="D401" s="15"/>
      <c r="E401" s="15"/>
      <c r="F401" s="15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>
      <c r="A402" s="2"/>
      <c r="B402" s="15"/>
      <c r="C402" s="15"/>
      <c r="D402" s="15"/>
      <c r="E402" s="15"/>
      <c r="F402" s="15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>
      <c r="A403" s="2"/>
      <c r="B403" s="15"/>
      <c r="C403" s="15"/>
      <c r="D403" s="15"/>
      <c r="E403" s="15"/>
      <c r="F403" s="15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>
      <c r="A404" s="2"/>
      <c r="B404" s="15"/>
      <c r="C404" s="15"/>
      <c r="D404" s="15"/>
      <c r="E404" s="15"/>
      <c r="F404" s="15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>
      <c r="A405" s="2"/>
      <c r="B405" s="15"/>
      <c r="C405" s="15"/>
      <c r="D405" s="15"/>
      <c r="E405" s="15"/>
      <c r="F405" s="15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>
      <c r="A406" s="2"/>
      <c r="B406" s="15"/>
      <c r="C406" s="15"/>
      <c r="D406" s="15"/>
      <c r="E406" s="15"/>
      <c r="F406" s="15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>
      <c r="A407" s="2"/>
      <c r="B407" s="15"/>
      <c r="C407" s="15"/>
      <c r="D407" s="15"/>
      <c r="E407" s="15"/>
      <c r="F407" s="15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>
      <c r="A408" s="2"/>
      <c r="B408" s="15"/>
      <c r="C408" s="15"/>
      <c r="D408" s="15"/>
      <c r="E408" s="15"/>
      <c r="F408" s="15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>
      <c r="A409" s="2"/>
      <c r="B409" s="15"/>
      <c r="C409" s="15"/>
      <c r="D409" s="15"/>
      <c r="E409" s="15"/>
      <c r="F409" s="15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>
      <c r="A410" s="2"/>
      <c r="B410" s="15"/>
      <c r="C410" s="15"/>
      <c r="D410" s="15"/>
      <c r="E410" s="15"/>
      <c r="F410" s="15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>
      <c r="A411" s="2"/>
      <c r="B411" s="15"/>
      <c r="C411" s="15"/>
      <c r="D411" s="15"/>
      <c r="E411" s="15"/>
      <c r="F411" s="15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>
      <c r="A412" s="2"/>
      <c r="B412" s="15"/>
      <c r="C412" s="15"/>
      <c r="D412" s="15"/>
      <c r="E412" s="15"/>
      <c r="F412" s="15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>
      <c r="A413" s="2"/>
      <c r="B413" s="15"/>
      <c r="C413" s="15"/>
      <c r="D413" s="15"/>
      <c r="E413" s="15"/>
      <c r="F413" s="15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>
      <c r="A414" s="2"/>
      <c r="B414" s="15"/>
      <c r="C414" s="15"/>
      <c r="D414" s="15"/>
      <c r="E414" s="15"/>
      <c r="F414" s="15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>
      <c r="A415" s="2"/>
      <c r="B415" s="15"/>
      <c r="C415" s="15"/>
      <c r="D415" s="15"/>
      <c r="E415" s="15"/>
      <c r="F415" s="15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>
      <c r="A416" s="2"/>
      <c r="B416" s="15"/>
      <c r="C416" s="15"/>
      <c r="D416" s="15"/>
      <c r="E416" s="15"/>
      <c r="F416" s="15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>
      <c r="A417" s="2"/>
      <c r="B417" s="15"/>
      <c r="C417" s="15"/>
      <c r="D417" s="15"/>
      <c r="E417" s="15"/>
      <c r="F417" s="15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>
      <c r="A418" s="2"/>
      <c r="B418" s="15"/>
      <c r="C418" s="15"/>
      <c r="D418" s="15"/>
      <c r="E418" s="15"/>
      <c r="F418" s="15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>
      <c r="A419" s="2"/>
      <c r="B419" s="15"/>
      <c r="C419" s="15"/>
      <c r="D419" s="15"/>
      <c r="E419" s="15"/>
      <c r="F419" s="15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>
      <c r="A420" s="2"/>
      <c r="B420" s="15"/>
      <c r="C420" s="15"/>
      <c r="D420" s="15"/>
      <c r="E420" s="15"/>
      <c r="F420" s="15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>
      <c r="A421" s="2"/>
      <c r="B421" s="15"/>
      <c r="C421" s="15"/>
      <c r="D421" s="15"/>
      <c r="E421" s="15"/>
      <c r="F421" s="15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>
      <c r="A422" s="2"/>
      <c r="B422" s="15"/>
      <c r="C422" s="15"/>
      <c r="D422" s="15"/>
      <c r="E422" s="15"/>
      <c r="F422" s="15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>
      <c r="A423" s="2"/>
      <c r="B423" s="15"/>
      <c r="C423" s="15"/>
      <c r="D423" s="15"/>
      <c r="E423" s="15"/>
      <c r="F423" s="15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>
      <c r="A424" s="2"/>
      <c r="B424" s="15"/>
      <c r="C424" s="15"/>
      <c r="D424" s="15"/>
      <c r="E424" s="15"/>
      <c r="F424" s="15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>
      <c r="A425" s="2"/>
      <c r="B425" s="15"/>
      <c r="C425" s="15"/>
      <c r="D425" s="15"/>
      <c r="E425" s="15"/>
      <c r="F425" s="15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>
      <c r="A426" s="2"/>
      <c r="B426" s="15"/>
      <c r="C426" s="15"/>
      <c r="D426" s="15"/>
      <c r="E426" s="15"/>
      <c r="F426" s="15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>
      <c r="A427" s="2"/>
      <c r="B427" s="15"/>
      <c r="C427" s="15"/>
      <c r="D427" s="15"/>
      <c r="E427" s="15"/>
      <c r="F427" s="15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>
      <c r="A428" s="2"/>
      <c r="B428" s="15"/>
      <c r="C428" s="15"/>
      <c r="D428" s="15"/>
      <c r="E428" s="15"/>
      <c r="F428" s="15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>
      <c r="A429" s="2"/>
      <c r="B429" s="15"/>
      <c r="C429" s="15"/>
      <c r="D429" s="15"/>
      <c r="E429" s="15"/>
      <c r="F429" s="15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>
      <c r="A430" s="2"/>
      <c r="B430" s="15"/>
      <c r="C430" s="15"/>
      <c r="D430" s="15"/>
      <c r="E430" s="15"/>
      <c r="F430" s="15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>
      <c r="A431" s="2"/>
      <c r="B431" s="15"/>
      <c r="C431" s="15"/>
      <c r="D431" s="15"/>
      <c r="E431" s="15"/>
      <c r="F431" s="15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>
      <c r="A432" s="2"/>
      <c r="B432" s="15"/>
      <c r="C432" s="15"/>
      <c r="D432" s="15"/>
      <c r="E432" s="15"/>
      <c r="F432" s="15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>
      <c r="A433" s="2"/>
      <c r="B433" s="15"/>
      <c r="C433" s="15"/>
      <c r="D433" s="15"/>
      <c r="E433" s="15"/>
      <c r="F433" s="15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>
      <c r="A434" s="2"/>
      <c r="B434" s="15"/>
      <c r="C434" s="15"/>
      <c r="D434" s="15"/>
      <c r="E434" s="15"/>
      <c r="F434" s="15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>
      <c r="A435" s="2"/>
      <c r="B435" s="15"/>
      <c r="C435" s="15"/>
      <c r="D435" s="15"/>
      <c r="E435" s="15"/>
      <c r="F435" s="15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>
      <c r="A436" s="2"/>
      <c r="B436" s="15"/>
      <c r="C436" s="15"/>
      <c r="D436" s="15"/>
      <c r="E436" s="15"/>
      <c r="F436" s="15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>
      <c r="A437" s="2"/>
      <c r="B437" s="15"/>
      <c r="C437" s="15"/>
      <c r="D437" s="15"/>
      <c r="E437" s="15"/>
      <c r="F437" s="15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>
      <c r="A438" s="2"/>
      <c r="B438" s="15"/>
      <c r="C438" s="15"/>
      <c r="D438" s="15"/>
      <c r="E438" s="15"/>
      <c r="F438" s="15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>
      <c r="A439" s="2"/>
      <c r="B439" s="15"/>
      <c r="C439" s="15"/>
      <c r="D439" s="15"/>
      <c r="E439" s="15"/>
      <c r="F439" s="15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>
      <c r="A440" s="2"/>
      <c r="B440" s="15"/>
      <c r="C440" s="15"/>
      <c r="D440" s="15"/>
      <c r="E440" s="15"/>
      <c r="F440" s="15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>
      <c r="A441" s="2"/>
      <c r="B441" s="15"/>
      <c r="C441" s="15"/>
      <c r="D441" s="15"/>
      <c r="E441" s="15"/>
      <c r="F441" s="15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>
      <c r="A442" s="2"/>
      <c r="B442" s="15"/>
      <c r="C442" s="15"/>
      <c r="D442" s="15"/>
      <c r="E442" s="15"/>
      <c r="F442" s="15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>
      <c r="A443" s="2"/>
      <c r="B443" s="15"/>
      <c r="C443" s="15"/>
      <c r="D443" s="15"/>
      <c r="E443" s="15"/>
      <c r="F443" s="15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>
      <c r="A444" s="2"/>
      <c r="B444" s="15"/>
      <c r="C444" s="15"/>
      <c r="D444" s="15"/>
      <c r="E444" s="15"/>
      <c r="F444" s="15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>
      <c r="A445" s="2"/>
      <c r="B445" s="15"/>
      <c r="C445" s="15"/>
      <c r="D445" s="15"/>
      <c r="E445" s="15"/>
      <c r="F445" s="15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>
      <c r="A446" s="2"/>
      <c r="B446" s="15"/>
      <c r="C446" s="15"/>
      <c r="D446" s="15"/>
      <c r="E446" s="15"/>
      <c r="F446" s="15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>
      <c r="A447" s="2"/>
      <c r="B447" s="15"/>
      <c r="C447" s="15"/>
      <c r="D447" s="15"/>
      <c r="E447" s="15"/>
      <c r="F447" s="15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>
      <c r="A448" s="2"/>
      <c r="B448" s="15"/>
      <c r="C448" s="15"/>
      <c r="D448" s="15"/>
      <c r="E448" s="15"/>
      <c r="F448" s="15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>
      <c r="A449" s="2"/>
      <c r="B449" s="15"/>
      <c r="C449" s="15"/>
      <c r="D449" s="15"/>
      <c r="E449" s="15"/>
      <c r="F449" s="15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>
      <c r="A450" s="2"/>
      <c r="B450" s="15"/>
      <c r="C450" s="15"/>
      <c r="D450" s="15"/>
      <c r="E450" s="15"/>
      <c r="F450" s="15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>
      <c r="A451" s="2"/>
      <c r="B451" s="15"/>
      <c r="C451" s="15"/>
      <c r="D451" s="15"/>
      <c r="E451" s="15"/>
      <c r="F451" s="15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>
      <c r="A452" s="2"/>
      <c r="B452" s="15"/>
      <c r="C452" s="15"/>
      <c r="D452" s="15"/>
      <c r="E452" s="15"/>
      <c r="F452" s="15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>
      <c r="A453" s="2"/>
      <c r="B453" s="15"/>
      <c r="C453" s="15"/>
      <c r="D453" s="15"/>
      <c r="E453" s="15"/>
      <c r="F453" s="15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>
      <c r="A454" s="2"/>
      <c r="B454" s="15"/>
      <c r="C454" s="15"/>
      <c r="D454" s="15"/>
      <c r="E454" s="15"/>
      <c r="F454" s="15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>
      <c r="A455" s="2"/>
      <c r="B455" s="15"/>
      <c r="C455" s="15"/>
      <c r="D455" s="15"/>
      <c r="E455" s="15"/>
      <c r="F455" s="15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>
      <c r="A456" s="2"/>
      <c r="B456" s="15"/>
      <c r="C456" s="15"/>
      <c r="D456" s="15"/>
      <c r="E456" s="15"/>
      <c r="F456" s="15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>
      <c r="A457" s="2"/>
      <c r="B457" s="15"/>
      <c r="C457" s="15"/>
      <c r="D457" s="15"/>
      <c r="E457" s="15"/>
      <c r="F457" s="15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>
      <c r="A458" s="2"/>
      <c r="B458" s="15"/>
      <c r="C458" s="15"/>
      <c r="D458" s="15"/>
      <c r="E458" s="15"/>
      <c r="F458" s="15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>
      <c r="A459" s="2"/>
      <c r="B459" s="15"/>
      <c r="C459" s="15"/>
      <c r="D459" s="15"/>
      <c r="E459" s="15"/>
      <c r="F459" s="15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>
      <c r="A460" s="2"/>
      <c r="B460" s="15"/>
      <c r="C460" s="15"/>
      <c r="D460" s="15"/>
      <c r="E460" s="15"/>
      <c r="F460" s="15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>
      <c r="A461" s="2"/>
      <c r="B461" s="15"/>
      <c r="C461" s="15"/>
      <c r="D461" s="15"/>
      <c r="E461" s="15"/>
      <c r="F461" s="15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>
      <c r="A462" s="2"/>
      <c r="B462" s="15"/>
      <c r="C462" s="15"/>
      <c r="D462" s="15"/>
      <c r="E462" s="15"/>
      <c r="F462" s="15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>
      <c r="A463" s="2"/>
      <c r="B463" s="15"/>
      <c r="C463" s="15"/>
      <c r="D463" s="15"/>
      <c r="E463" s="15"/>
      <c r="F463" s="15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>
      <c r="A464" s="2"/>
      <c r="B464" s="15"/>
      <c r="C464" s="15"/>
      <c r="D464" s="15"/>
      <c r="E464" s="15"/>
      <c r="F464" s="15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>
      <c r="A465" s="2"/>
      <c r="B465" s="15"/>
      <c r="C465" s="15"/>
      <c r="D465" s="15"/>
      <c r="E465" s="15"/>
      <c r="F465" s="15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>
      <c r="A466" s="2"/>
      <c r="B466" s="15"/>
      <c r="C466" s="15"/>
      <c r="D466" s="15"/>
      <c r="E466" s="15"/>
      <c r="F466" s="15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>
      <c r="A467" s="2"/>
      <c r="B467" s="15"/>
      <c r="C467" s="15"/>
      <c r="D467" s="15"/>
      <c r="E467" s="15"/>
      <c r="F467" s="15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>
      <c r="A468" s="2"/>
      <c r="B468" s="15"/>
      <c r="C468" s="15"/>
      <c r="D468" s="15"/>
      <c r="E468" s="15"/>
      <c r="F468" s="15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>
      <c r="A469" s="2"/>
      <c r="B469" s="15"/>
      <c r="C469" s="15"/>
      <c r="D469" s="15"/>
      <c r="E469" s="15"/>
      <c r="F469" s="15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>
      <c r="A470" s="2"/>
      <c r="B470" s="15"/>
      <c r="C470" s="15"/>
      <c r="D470" s="15"/>
      <c r="E470" s="15"/>
      <c r="F470" s="15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>
      <c r="A471" s="2"/>
      <c r="B471" s="15"/>
      <c r="C471" s="15"/>
      <c r="D471" s="15"/>
      <c r="E471" s="15"/>
      <c r="F471" s="15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>
      <c r="A472" s="2"/>
      <c r="B472" s="15"/>
      <c r="C472" s="15"/>
      <c r="D472" s="15"/>
      <c r="E472" s="15"/>
      <c r="F472" s="15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>
      <c r="A473" s="2"/>
      <c r="B473" s="15"/>
      <c r="C473" s="15"/>
      <c r="D473" s="15"/>
      <c r="E473" s="15"/>
      <c r="F473" s="15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>
      <c r="A474" s="2"/>
      <c r="B474" s="15"/>
      <c r="C474" s="15"/>
      <c r="D474" s="15"/>
      <c r="E474" s="15"/>
      <c r="F474" s="15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>
      <c r="A475" s="2"/>
      <c r="B475" s="15"/>
      <c r="C475" s="15"/>
      <c r="D475" s="15"/>
      <c r="E475" s="15"/>
      <c r="F475" s="15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>
      <c r="A476" s="2"/>
      <c r="B476" s="15"/>
      <c r="C476" s="15"/>
      <c r="D476" s="15"/>
      <c r="E476" s="15"/>
      <c r="F476" s="15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>
      <c r="A477" s="2"/>
      <c r="B477" s="15"/>
      <c r="C477" s="15"/>
      <c r="D477" s="15"/>
      <c r="E477" s="15"/>
      <c r="F477" s="15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>
      <c r="A478" s="2"/>
      <c r="B478" s="15"/>
      <c r="C478" s="15"/>
      <c r="D478" s="15"/>
      <c r="E478" s="15"/>
      <c r="F478" s="15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>
      <c r="A479" s="2"/>
      <c r="B479" s="15"/>
      <c r="C479" s="15"/>
      <c r="D479" s="15"/>
      <c r="E479" s="15"/>
      <c r="F479" s="15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>
      <c r="A480" s="2"/>
      <c r="B480" s="15"/>
      <c r="C480" s="15"/>
      <c r="D480" s="15"/>
      <c r="E480" s="15"/>
      <c r="F480" s="15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>
      <c r="A481" s="2"/>
      <c r="B481" s="15"/>
      <c r="C481" s="15"/>
      <c r="D481" s="15"/>
      <c r="E481" s="15"/>
      <c r="F481" s="15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>
      <c r="A482" s="2"/>
      <c r="B482" s="15"/>
      <c r="C482" s="15"/>
      <c r="D482" s="15"/>
      <c r="E482" s="15"/>
      <c r="F482" s="15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>
      <c r="A483" s="2"/>
      <c r="B483" s="15"/>
      <c r="C483" s="15"/>
      <c r="D483" s="15"/>
      <c r="E483" s="15"/>
      <c r="F483" s="15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>
      <c r="A484" s="2"/>
      <c r="B484" s="15"/>
      <c r="C484" s="15"/>
      <c r="D484" s="15"/>
      <c r="E484" s="15"/>
      <c r="F484" s="15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>
      <c r="A485" s="2"/>
      <c r="B485" s="15"/>
      <c r="C485" s="15"/>
      <c r="D485" s="15"/>
      <c r="E485" s="15"/>
      <c r="F485" s="15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>
      <c r="A486" s="2"/>
      <c r="B486" s="15"/>
      <c r="C486" s="15"/>
      <c r="D486" s="15"/>
      <c r="E486" s="15"/>
      <c r="F486" s="15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>
      <c r="A487" s="2"/>
      <c r="B487" s="15"/>
      <c r="C487" s="15"/>
      <c r="D487" s="15"/>
      <c r="E487" s="15"/>
      <c r="F487" s="15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>
      <c r="A488" s="2"/>
      <c r="B488" s="15"/>
      <c r="C488" s="15"/>
      <c r="D488" s="15"/>
      <c r="E488" s="15"/>
      <c r="F488" s="15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>
      <c r="A489" s="2"/>
      <c r="B489" s="15"/>
      <c r="C489" s="15"/>
      <c r="D489" s="15"/>
      <c r="E489" s="15"/>
      <c r="F489" s="15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>
      <c r="A490" s="2"/>
      <c r="B490" s="15"/>
      <c r="C490" s="15"/>
      <c r="D490" s="15"/>
      <c r="E490" s="15"/>
      <c r="F490" s="15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>
      <c r="A491" s="2"/>
      <c r="B491" s="15"/>
      <c r="C491" s="15"/>
      <c r="D491" s="15"/>
      <c r="E491" s="15"/>
      <c r="F491" s="15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>
      <c r="A492" s="2"/>
      <c r="B492" s="15"/>
      <c r="C492" s="15"/>
      <c r="D492" s="15"/>
      <c r="E492" s="15"/>
      <c r="F492" s="15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>
      <c r="A493" s="2"/>
      <c r="B493" s="15"/>
      <c r="C493" s="15"/>
      <c r="D493" s="15"/>
      <c r="E493" s="15"/>
      <c r="F493" s="15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>
      <c r="A494" s="2"/>
      <c r="B494" s="15"/>
      <c r="C494" s="15"/>
      <c r="D494" s="15"/>
      <c r="E494" s="15"/>
      <c r="F494" s="15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>
      <c r="A495" s="2"/>
      <c r="B495" s="15"/>
      <c r="C495" s="15"/>
      <c r="D495" s="15"/>
      <c r="E495" s="15"/>
      <c r="F495" s="15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>
      <c r="A496" s="2"/>
      <c r="B496" s="15"/>
      <c r="C496" s="15"/>
      <c r="D496" s="15"/>
      <c r="E496" s="15"/>
      <c r="F496" s="15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>
      <c r="A497" s="2"/>
      <c r="B497" s="15"/>
      <c r="C497" s="15"/>
      <c r="D497" s="15"/>
      <c r="E497" s="15"/>
      <c r="F497" s="15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>
      <c r="A498" s="2"/>
      <c r="B498" s="15"/>
      <c r="C498" s="15"/>
      <c r="D498" s="15"/>
      <c r="E498" s="15"/>
      <c r="F498" s="15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>
      <c r="A499" s="2"/>
      <c r="B499" s="15"/>
      <c r="C499" s="15"/>
      <c r="D499" s="15"/>
      <c r="E499" s="15"/>
      <c r="F499" s="15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>
      <c r="A500" s="2"/>
      <c r="B500" s="15"/>
      <c r="C500" s="15"/>
      <c r="D500" s="15"/>
      <c r="E500" s="15"/>
      <c r="F500" s="15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>
      <c r="A501" s="2"/>
      <c r="B501" s="15"/>
      <c r="C501" s="15"/>
      <c r="D501" s="15"/>
      <c r="E501" s="15"/>
      <c r="F501" s="15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>
      <c r="A502" s="2"/>
      <c r="B502" s="15"/>
      <c r="C502" s="15"/>
      <c r="D502" s="15"/>
      <c r="E502" s="15"/>
      <c r="F502" s="15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>
      <c r="A503" s="2"/>
      <c r="B503" s="15"/>
      <c r="C503" s="15"/>
      <c r="D503" s="15"/>
      <c r="E503" s="15"/>
      <c r="F503" s="15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>
      <c r="A504" s="2"/>
      <c r="B504" s="15"/>
      <c r="C504" s="15"/>
      <c r="D504" s="15"/>
      <c r="E504" s="15"/>
      <c r="F504" s="15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>
      <c r="A505" s="2"/>
      <c r="B505" s="15"/>
      <c r="C505" s="15"/>
      <c r="D505" s="15"/>
      <c r="E505" s="15"/>
      <c r="F505" s="15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>
      <c r="A506" s="2"/>
      <c r="B506" s="15"/>
      <c r="C506" s="15"/>
      <c r="D506" s="15"/>
      <c r="E506" s="15"/>
      <c r="F506" s="15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>
      <c r="A507" s="2"/>
      <c r="B507" s="15"/>
      <c r="C507" s="15"/>
      <c r="D507" s="15"/>
      <c r="E507" s="15"/>
      <c r="F507" s="15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>
      <c r="A508" s="2"/>
      <c r="B508" s="15"/>
      <c r="C508" s="15"/>
      <c r="D508" s="15"/>
      <c r="E508" s="15"/>
      <c r="F508" s="15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>
      <c r="A509" s="2"/>
      <c r="B509" s="15"/>
      <c r="C509" s="15"/>
      <c r="D509" s="15"/>
      <c r="E509" s="15"/>
      <c r="F509" s="15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>
      <c r="A510" s="2"/>
      <c r="B510" s="15"/>
      <c r="C510" s="15"/>
      <c r="D510" s="15"/>
      <c r="E510" s="15"/>
      <c r="F510" s="15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>
      <c r="A511" s="2"/>
      <c r="B511" s="15"/>
      <c r="C511" s="15"/>
      <c r="D511" s="15"/>
      <c r="E511" s="15"/>
      <c r="F511" s="15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>
      <c r="A512" s="2"/>
      <c r="B512" s="15"/>
      <c r="C512" s="15"/>
      <c r="D512" s="15"/>
      <c r="E512" s="15"/>
      <c r="F512" s="15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>
      <c r="A513" s="2"/>
      <c r="B513" s="15"/>
      <c r="C513" s="15"/>
      <c r="D513" s="15"/>
      <c r="E513" s="15"/>
      <c r="F513" s="15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>
      <c r="A514" s="2"/>
      <c r="B514" s="15"/>
      <c r="C514" s="15"/>
      <c r="D514" s="15"/>
      <c r="E514" s="15"/>
      <c r="F514" s="15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>
      <c r="A515" s="2"/>
      <c r="B515" s="15"/>
      <c r="C515" s="15"/>
      <c r="D515" s="15"/>
      <c r="E515" s="15"/>
      <c r="F515" s="15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>
      <c r="A516" s="2"/>
      <c r="B516" s="15"/>
      <c r="C516" s="15"/>
      <c r="D516" s="15"/>
      <c r="E516" s="15"/>
      <c r="F516" s="15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>
      <c r="A517" s="2"/>
      <c r="B517" s="15"/>
      <c r="C517" s="15"/>
      <c r="D517" s="15"/>
      <c r="E517" s="15"/>
      <c r="F517" s="15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>
      <c r="A518" s="2"/>
      <c r="B518" s="15"/>
      <c r="C518" s="15"/>
      <c r="D518" s="15"/>
      <c r="E518" s="15"/>
      <c r="F518" s="15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>
      <c r="A519" s="2"/>
      <c r="B519" s="15"/>
      <c r="C519" s="15"/>
      <c r="D519" s="15"/>
      <c r="E519" s="15"/>
      <c r="F519" s="15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>
      <c r="A520" s="2"/>
      <c r="B520" s="15"/>
      <c r="C520" s="15"/>
      <c r="D520" s="15"/>
      <c r="E520" s="15"/>
      <c r="F520" s="15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>
      <c r="A521" s="2"/>
      <c r="B521" s="15"/>
      <c r="C521" s="15"/>
      <c r="D521" s="15"/>
      <c r="E521" s="15"/>
      <c r="F521" s="15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>
      <c r="A522" s="2"/>
      <c r="B522" s="15"/>
      <c r="C522" s="15"/>
      <c r="D522" s="15"/>
      <c r="E522" s="15"/>
      <c r="F522" s="15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>
      <c r="A523" s="2"/>
      <c r="B523" s="15"/>
      <c r="C523" s="15"/>
      <c r="D523" s="15"/>
      <c r="E523" s="15"/>
      <c r="F523" s="15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>
      <c r="A524" s="2"/>
      <c r="B524" s="15"/>
      <c r="C524" s="15"/>
      <c r="D524" s="15"/>
      <c r="E524" s="15"/>
      <c r="F524" s="15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>
      <c r="A525" s="2"/>
      <c r="B525" s="15"/>
      <c r="C525" s="15"/>
      <c r="D525" s="15"/>
      <c r="E525" s="15"/>
      <c r="F525" s="15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>
      <c r="A526" s="2"/>
      <c r="B526" s="15"/>
      <c r="C526" s="15"/>
      <c r="D526" s="15"/>
      <c r="E526" s="15"/>
      <c r="F526" s="15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>
      <c r="A527" s="2"/>
      <c r="B527" s="15"/>
      <c r="C527" s="15"/>
      <c r="D527" s="15"/>
      <c r="E527" s="15"/>
      <c r="F527" s="15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>
      <c r="A528" s="2"/>
      <c r="B528" s="15"/>
      <c r="C528" s="15"/>
      <c r="D528" s="15"/>
      <c r="E528" s="15"/>
      <c r="F528" s="15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>
      <c r="A529" s="2"/>
      <c r="B529" s="15"/>
      <c r="C529" s="15"/>
      <c r="D529" s="15"/>
      <c r="E529" s="15"/>
      <c r="F529" s="15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>
      <c r="A530" s="2"/>
      <c r="B530" s="15"/>
      <c r="C530" s="15"/>
      <c r="D530" s="15"/>
      <c r="E530" s="15"/>
      <c r="F530" s="15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>
      <c r="A531" s="2"/>
      <c r="B531" s="15"/>
      <c r="C531" s="15"/>
      <c r="D531" s="15"/>
      <c r="E531" s="15"/>
      <c r="F531" s="15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>
      <c r="A532" s="2"/>
      <c r="B532" s="15"/>
      <c r="C532" s="15"/>
      <c r="D532" s="15"/>
      <c r="E532" s="15"/>
      <c r="F532" s="15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>
      <c r="A533" s="2"/>
      <c r="B533" s="15"/>
      <c r="C533" s="15"/>
      <c r="D533" s="15"/>
      <c r="E533" s="15"/>
      <c r="F533" s="15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>
      <c r="A534" s="2"/>
      <c r="B534" s="15"/>
      <c r="C534" s="15"/>
      <c r="D534" s="15"/>
      <c r="E534" s="15"/>
      <c r="F534" s="15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>
      <c r="A535" s="2"/>
      <c r="B535" s="15"/>
      <c r="C535" s="15"/>
      <c r="D535" s="15"/>
      <c r="E535" s="15"/>
      <c r="F535" s="15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>
      <c r="A536" s="2"/>
      <c r="B536" s="15"/>
      <c r="C536" s="15"/>
      <c r="D536" s="15"/>
      <c r="E536" s="15"/>
      <c r="F536" s="15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>
      <c r="A537" s="2"/>
      <c r="B537" s="15"/>
      <c r="C537" s="15"/>
      <c r="D537" s="15"/>
      <c r="E537" s="15"/>
      <c r="F537" s="15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>
      <c r="A538" s="2"/>
      <c r="B538" s="15"/>
      <c r="C538" s="15"/>
      <c r="D538" s="15"/>
      <c r="E538" s="15"/>
      <c r="F538" s="15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>
      <c r="A539" s="2"/>
      <c r="B539" s="15"/>
      <c r="C539" s="15"/>
      <c r="D539" s="15"/>
      <c r="E539" s="15"/>
      <c r="F539" s="15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>
      <c r="A540" s="2"/>
      <c r="B540" s="15"/>
      <c r="C540" s="15"/>
      <c r="D540" s="15"/>
      <c r="E540" s="15"/>
      <c r="F540" s="15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>
      <c r="A541" s="2"/>
      <c r="B541" s="15"/>
      <c r="C541" s="15"/>
      <c r="D541" s="15"/>
      <c r="E541" s="15"/>
      <c r="F541" s="15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>
      <c r="A542" s="2"/>
      <c r="B542" s="15"/>
      <c r="C542" s="15"/>
      <c r="D542" s="15"/>
      <c r="E542" s="15"/>
      <c r="F542" s="15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>
      <c r="A543" s="2"/>
      <c r="B543" s="15"/>
      <c r="C543" s="15"/>
      <c r="D543" s="15"/>
      <c r="E543" s="15"/>
      <c r="F543" s="15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>
      <c r="A544" s="2"/>
      <c r="B544" s="15"/>
      <c r="C544" s="15"/>
      <c r="D544" s="15"/>
      <c r="E544" s="15"/>
      <c r="F544" s="15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>
      <c r="A545" s="2"/>
      <c r="B545" s="15"/>
      <c r="C545" s="15"/>
      <c r="D545" s="15"/>
      <c r="E545" s="15"/>
      <c r="F545" s="15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>
      <c r="A546" s="2"/>
      <c r="B546" s="15"/>
      <c r="C546" s="15"/>
      <c r="D546" s="15"/>
      <c r="E546" s="15"/>
      <c r="F546" s="15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>
      <c r="A547" s="2"/>
      <c r="B547" s="15"/>
      <c r="C547" s="15"/>
      <c r="D547" s="15"/>
      <c r="E547" s="15"/>
      <c r="F547" s="15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>
      <c r="A548" s="2"/>
      <c r="B548" s="15"/>
      <c r="C548" s="15"/>
      <c r="D548" s="15"/>
      <c r="E548" s="15"/>
      <c r="F548" s="15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>
      <c r="A549" s="2"/>
      <c r="B549" s="15"/>
      <c r="C549" s="15"/>
      <c r="D549" s="15"/>
      <c r="E549" s="15"/>
      <c r="F549" s="15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>
      <c r="A550" s="2"/>
      <c r="B550" s="15"/>
      <c r="C550" s="15"/>
      <c r="D550" s="15"/>
      <c r="E550" s="15"/>
      <c r="F550" s="15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>
      <c r="A551" s="2"/>
      <c r="B551" s="15"/>
      <c r="C551" s="15"/>
      <c r="D551" s="15"/>
      <c r="E551" s="15"/>
      <c r="F551" s="15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>
      <c r="A552" s="2"/>
      <c r="B552" s="15"/>
      <c r="C552" s="15"/>
      <c r="D552" s="15"/>
      <c r="E552" s="15"/>
      <c r="F552" s="15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>
      <c r="A553" s="2"/>
      <c r="B553" s="15"/>
      <c r="C553" s="15"/>
      <c r="D553" s="15"/>
      <c r="E553" s="15"/>
      <c r="F553" s="15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>
      <c r="A554" s="2"/>
      <c r="B554" s="15"/>
      <c r="C554" s="15"/>
      <c r="D554" s="15"/>
      <c r="E554" s="15"/>
      <c r="F554" s="15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>
      <c r="A555" s="2"/>
      <c r="B555" s="15"/>
      <c r="C555" s="15"/>
      <c r="D555" s="15"/>
      <c r="E555" s="15"/>
      <c r="F555" s="15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>
      <c r="A556" s="2"/>
      <c r="B556" s="15"/>
      <c r="C556" s="15"/>
      <c r="D556" s="15"/>
      <c r="E556" s="15"/>
      <c r="F556" s="15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>
      <c r="A557" s="2"/>
      <c r="B557" s="15"/>
      <c r="C557" s="15"/>
      <c r="D557" s="15"/>
      <c r="E557" s="15"/>
      <c r="F557" s="15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>
      <c r="A558" s="2"/>
      <c r="B558" s="15"/>
      <c r="C558" s="15"/>
      <c r="D558" s="15"/>
      <c r="E558" s="15"/>
      <c r="F558" s="15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>
      <c r="A559" s="2"/>
      <c r="B559" s="15"/>
      <c r="C559" s="15"/>
      <c r="D559" s="15"/>
      <c r="E559" s="15"/>
      <c r="F559" s="15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>
      <c r="A560" s="2"/>
      <c r="B560" s="15"/>
      <c r="C560" s="15"/>
      <c r="D560" s="15"/>
      <c r="E560" s="15"/>
      <c r="F560" s="15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>
      <c r="A561" s="2"/>
      <c r="B561" s="15"/>
      <c r="C561" s="15"/>
      <c r="D561" s="15"/>
      <c r="E561" s="15"/>
      <c r="F561" s="15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>
      <c r="A562" s="2"/>
      <c r="B562" s="15"/>
      <c r="C562" s="15"/>
      <c r="D562" s="15"/>
      <c r="E562" s="15"/>
      <c r="F562" s="15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>
      <c r="A563" s="2"/>
      <c r="B563" s="15"/>
      <c r="C563" s="15"/>
      <c r="D563" s="15"/>
      <c r="E563" s="15"/>
      <c r="F563" s="15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>
      <c r="A564" s="2"/>
      <c r="B564" s="15"/>
      <c r="C564" s="15"/>
      <c r="D564" s="15"/>
      <c r="E564" s="15"/>
      <c r="F564" s="15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>
      <c r="A565" s="2"/>
      <c r="B565" s="15"/>
      <c r="C565" s="15"/>
      <c r="D565" s="15"/>
      <c r="E565" s="15"/>
      <c r="F565" s="15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>
      <c r="A566" s="2"/>
      <c r="B566" s="15"/>
      <c r="C566" s="15"/>
      <c r="D566" s="15"/>
      <c r="E566" s="15"/>
      <c r="F566" s="15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>
      <c r="A567" s="2"/>
      <c r="B567" s="15"/>
      <c r="C567" s="15"/>
      <c r="D567" s="15"/>
      <c r="E567" s="15"/>
      <c r="F567" s="15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>
      <c r="A568" s="2"/>
      <c r="B568" s="15"/>
      <c r="C568" s="15"/>
      <c r="D568" s="15"/>
      <c r="E568" s="15"/>
      <c r="F568" s="15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>
      <c r="A569" s="2"/>
      <c r="B569" s="15"/>
      <c r="C569" s="15"/>
      <c r="D569" s="15"/>
      <c r="E569" s="15"/>
      <c r="F569" s="15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>
      <c r="A570" s="2"/>
      <c r="B570" s="15"/>
      <c r="C570" s="15"/>
      <c r="D570" s="15"/>
      <c r="E570" s="15"/>
      <c r="F570" s="15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>
      <c r="A571" s="2"/>
      <c r="B571" s="15"/>
      <c r="C571" s="15"/>
      <c r="D571" s="15"/>
      <c r="E571" s="15"/>
      <c r="F571" s="15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>
      <c r="A572" s="2"/>
      <c r="B572" s="15"/>
      <c r="C572" s="15"/>
      <c r="D572" s="15"/>
      <c r="E572" s="15"/>
      <c r="F572" s="15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>
      <c r="A573" s="2"/>
      <c r="B573" s="15"/>
      <c r="C573" s="15"/>
      <c r="D573" s="15"/>
      <c r="E573" s="15"/>
      <c r="F573" s="15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>
      <c r="A574" s="2"/>
      <c r="B574" s="15"/>
      <c r="C574" s="15"/>
      <c r="D574" s="15"/>
      <c r="E574" s="15"/>
      <c r="F574" s="15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>
      <c r="A575" s="2"/>
      <c r="B575" s="15"/>
      <c r="C575" s="15"/>
      <c r="D575" s="15"/>
      <c r="E575" s="15"/>
      <c r="F575" s="15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>
      <c r="A576" s="2"/>
      <c r="B576" s="15"/>
      <c r="C576" s="15"/>
      <c r="D576" s="15"/>
      <c r="E576" s="15"/>
      <c r="F576" s="15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>
      <c r="A577" s="2"/>
      <c r="B577" s="15"/>
      <c r="C577" s="15"/>
      <c r="D577" s="15"/>
      <c r="E577" s="15"/>
      <c r="F577" s="15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>
      <c r="A578" s="2"/>
      <c r="B578" s="15"/>
      <c r="C578" s="15"/>
      <c r="D578" s="15"/>
      <c r="E578" s="15"/>
      <c r="F578" s="15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>
      <c r="A579" s="2"/>
      <c r="B579" s="15"/>
      <c r="C579" s="15"/>
      <c r="D579" s="15"/>
      <c r="E579" s="15"/>
      <c r="F579" s="15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>
      <c r="A580" s="2"/>
      <c r="B580" s="15"/>
      <c r="C580" s="15"/>
      <c r="D580" s="15"/>
      <c r="E580" s="15"/>
      <c r="F580" s="15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>
      <c r="A581" s="2"/>
      <c r="B581" s="15"/>
      <c r="C581" s="15"/>
      <c r="D581" s="15"/>
      <c r="E581" s="15"/>
      <c r="F581" s="15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>
      <c r="A582" s="2"/>
      <c r="B582" s="15"/>
      <c r="C582" s="15"/>
      <c r="D582" s="15"/>
      <c r="E582" s="15"/>
      <c r="F582" s="15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>
      <c r="A583" s="2"/>
      <c r="B583" s="15"/>
      <c r="C583" s="15"/>
      <c r="D583" s="15"/>
      <c r="E583" s="15"/>
      <c r="F583" s="15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>
      <c r="A584" s="2"/>
      <c r="B584" s="15"/>
      <c r="C584" s="15"/>
      <c r="D584" s="15"/>
      <c r="E584" s="15"/>
      <c r="F584" s="15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>
      <c r="A585" s="2"/>
      <c r="B585" s="15"/>
      <c r="C585" s="15"/>
      <c r="D585" s="15"/>
      <c r="E585" s="15"/>
      <c r="F585" s="15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>
      <c r="A586" s="2"/>
      <c r="B586" s="15"/>
      <c r="C586" s="15"/>
      <c r="D586" s="15"/>
      <c r="E586" s="15"/>
      <c r="F586" s="15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>
      <c r="A587" s="2"/>
      <c r="B587" s="15"/>
      <c r="C587" s="15"/>
      <c r="D587" s="15"/>
      <c r="E587" s="15"/>
      <c r="F587" s="15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>
      <c r="A588" s="2"/>
      <c r="B588" s="15"/>
      <c r="C588" s="15"/>
      <c r="D588" s="15"/>
      <c r="E588" s="15"/>
      <c r="F588" s="15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>
      <c r="A589" s="2"/>
      <c r="B589" s="15"/>
      <c r="C589" s="15"/>
      <c r="D589" s="15"/>
      <c r="E589" s="15"/>
      <c r="F589" s="15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>
      <c r="A590" s="2"/>
      <c r="B590" s="15"/>
      <c r="C590" s="15"/>
      <c r="D590" s="15"/>
      <c r="E590" s="15"/>
      <c r="F590" s="15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>
      <c r="A591" s="2"/>
      <c r="B591" s="15"/>
      <c r="C591" s="15"/>
      <c r="D591" s="15"/>
      <c r="E591" s="15"/>
      <c r="F591" s="15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>
      <c r="A592" s="2"/>
      <c r="B592" s="15"/>
      <c r="C592" s="15"/>
      <c r="D592" s="15"/>
      <c r="E592" s="15"/>
      <c r="F592" s="15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>
      <c r="A593" s="2"/>
      <c r="B593" s="15"/>
      <c r="C593" s="15"/>
      <c r="D593" s="15"/>
      <c r="E593" s="15"/>
      <c r="F593" s="15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>
      <c r="A594" s="2"/>
      <c r="B594" s="15"/>
      <c r="C594" s="15"/>
      <c r="D594" s="15"/>
      <c r="E594" s="15"/>
      <c r="F594" s="15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>
      <c r="A595" s="2"/>
      <c r="B595" s="15"/>
      <c r="C595" s="15"/>
      <c r="D595" s="15"/>
      <c r="E595" s="15"/>
      <c r="F595" s="15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>
      <c r="A596" s="2"/>
      <c r="B596" s="15"/>
      <c r="C596" s="15"/>
      <c r="D596" s="15"/>
      <c r="E596" s="15"/>
      <c r="F596" s="15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>
      <c r="A597" s="2"/>
      <c r="B597" s="15"/>
      <c r="C597" s="15"/>
      <c r="D597" s="15"/>
      <c r="E597" s="15"/>
      <c r="F597" s="15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>
      <c r="A598" s="2"/>
      <c r="B598" s="15"/>
      <c r="C598" s="15"/>
      <c r="D598" s="15"/>
      <c r="E598" s="15"/>
      <c r="F598" s="15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>
      <c r="A599" s="2"/>
      <c r="B599" s="15"/>
      <c r="C599" s="15"/>
      <c r="D599" s="15"/>
      <c r="E599" s="15"/>
      <c r="F599" s="15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>
      <c r="A600" s="2"/>
      <c r="B600" s="15"/>
      <c r="C600" s="15"/>
      <c r="D600" s="15"/>
      <c r="E600" s="15"/>
      <c r="F600" s="15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>
      <c r="A601" s="2"/>
      <c r="B601" s="15"/>
      <c r="C601" s="15"/>
      <c r="D601" s="15"/>
      <c r="E601" s="15"/>
      <c r="F601" s="15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>
      <c r="A602" s="2"/>
      <c r="B602" s="15"/>
      <c r="C602" s="15"/>
      <c r="D602" s="15"/>
      <c r="E602" s="15"/>
      <c r="F602" s="15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>
      <c r="A603" s="2"/>
      <c r="B603" s="15"/>
      <c r="C603" s="15"/>
      <c r="D603" s="15"/>
      <c r="E603" s="15"/>
      <c r="F603" s="15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>
      <c r="A604" s="2"/>
      <c r="B604" s="15"/>
      <c r="C604" s="15"/>
      <c r="D604" s="15"/>
      <c r="E604" s="15"/>
      <c r="F604" s="15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>
      <c r="A605" s="2"/>
      <c r="B605" s="15"/>
      <c r="C605" s="15"/>
      <c r="D605" s="15"/>
      <c r="E605" s="15"/>
      <c r="F605" s="15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>
      <c r="A606" s="2"/>
      <c r="B606" s="15"/>
      <c r="C606" s="15"/>
      <c r="D606" s="15"/>
      <c r="E606" s="15"/>
      <c r="F606" s="15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>
      <c r="A607" s="2"/>
      <c r="B607" s="15"/>
      <c r="C607" s="15"/>
      <c r="D607" s="15"/>
      <c r="E607" s="15"/>
      <c r="F607" s="15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>
      <c r="A608" s="2"/>
      <c r="B608" s="15"/>
      <c r="C608" s="15"/>
      <c r="D608" s="15"/>
      <c r="E608" s="15"/>
      <c r="F608" s="15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>
      <c r="A609" s="2"/>
      <c r="B609" s="15"/>
      <c r="C609" s="15"/>
      <c r="D609" s="15"/>
      <c r="E609" s="15"/>
      <c r="F609" s="15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>
      <c r="A610" s="2"/>
      <c r="B610" s="15"/>
      <c r="C610" s="15"/>
      <c r="D610" s="15"/>
      <c r="E610" s="15"/>
      <c r="F610" s="15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>
      <c r="A611" s="2"/>
      <c r="B611" s="15"/>
      <c r="C611" s="15"/>
      <c r="D611" s="15"/>
      <c r="E611" s="15"/>
      <c r="F611" s="15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>
      <c r="A612" s="2"/>
      <c r="B612" s="15"/>
      <c r="C612" s="15"/>
      <c r="D612" s="15"/>
      <c r="E612" s="15"/>
      <c r="F612" s="15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>
      <c r="A613" s="2"/>
      <c r="B613" s="15"/>
      <c r="C613" s="15"/>
      <c r="D613" s="15"/>
      <c r="E613" s="15"/>
      <c r="F613" s="15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>
      <c r="A614" s="2"/>
      <c r="B614" s="15"/>
      <c r="C614" s="15"/>
      <c r="D614" s="15"/>
      <c r="E614" s="15"/>
      <c r="F614" s="15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>
      <c r="A615" s="2"/>
      <c r="B615" s="15"/>
      <c r="C615" s="15"/>
      <c r="D615" s="15"/>
      <c r="E615" s="15"/>
      <c r="F615" s="15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>
      <c r="A616" s="2"/>
      <c r="B616" s="15"/>
      <c r="C616" s="15"/>
      <c r="D616" s="15"/>
      <c r="E616" s="15"/>
      <c r="F616" s="15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>
      <c r="A617" s="2"/>
      <c r="B617" s="15"/>
      <c r="C617" s="15"/>
      <c r="D617" s="15"/>
      <c r="E617" s="15"/>
      <c r="F617" s="15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>
      <c r="A618" s="2"/>
      <c r="B618" s="15"/>
      <c r="C618" s="15"/>
      <c r="D618" s="15"/>
      <c r="E618" s="15"/>
      <c r="F618" s="15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>
      <c r="A619" s="2"/>
      <c r="B619" s="15"/>
      <c r="C619" s="15"/>
      <c r="D619" s="15"/>
      <c r="E619" s="15"/>
      <c r="F619" s="15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>
      <c r="A620" s="2"/>
      <c r="B620" s="15"/>
      <c r="C620" s="15"/>
      <c r="D620" s="15"/>
      <c r="E620" s="15"/>
      <c r="F620" s="15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>
      <c r="A621" s="2"/>
      <c r="B621" s="15"/>
      <c r="C621" s="15"/>
      <c r="D621" s="15"/>
      <c r="E621" s="15"/>
      <c r="F621" s="15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>
      <c r="A622" s="2"/>
      <c r="B622" s="15"/>
      <c r="C622" s="15"/>
      <c r="D622" s="15"/>
      <c r="E622" s="15"/>
      <c r="F622" s="15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>
      <c r="A623" s="2"/>
      <c r="B623" s="15"/>
      <c r="C623" s="15"/>
      <c r="D623" s="15"/>
      <c r="E623" s="15"/>
      <c r="F623" s="15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>
      <c r="A624" s="2"/>
      <c r="B624" s="15"/>
      <c r="C624" s="15"/>
      <c r="D624" s="15"/>
      <c r="E624" s="15"/>
      <c r="F624" s="15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>
      <c r="A625" s="2"/>
      <c r="B625" s="15"/>
      <c r="C625" s="15"/>
      <c r="D625" s="15"/>
      <c r="E625" s="15"/>
      <c r="F625" s="15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>
      <c r="A626" s="2"/>
      <c r="B626" s="15"/>
      <c r="C626" s="15"/>
      <c r="D626" s="15"/>
      <c r="E626" s="15"/>
      <c r="F626" s="15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>
      <c r="A627" s="2"/>
      <c r="B627" s="15"/>
      <c r="C627" s="15"/>
      <c r="D627" s="15"/>
      <c r="E627" s="15"/>
      <c r="F627" s="15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>
      <c r="A628" s="2"/>
      <c r="B628" s="15"/>
      <c r="C628" s="15"/>
      <c r="D628" s="15"/>
      <c r="E628" s="15"/>
      <c r="F628" s="15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>
      <c r="A629" s="2"/>
      <c r="B629" s="15"/>
      <c r="C629" s="15"/>
      <c r="D629" s="15"/>
      <c r="E629" s="15"/>
      <c r="F629" s="15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>
      <c r="A630" s="2"/>
      <c r="B630" s="15"/>
      <c r="C630" s="15"/>
      <c r="D630" s="15"/>
      <c r="E630" s="15"/>
      <c r="F630" s="15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>
      <c r="A631" s="2"/>
      <c r="B631" s="15"/>
      <c r="C631" s="15"/>
      <c r="D631" s="15"/>
      <c r="E631" s="15"/>
      <c r="F631" s="15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>
      <c r="A632" s="2"/>
      <c r="B632" s="15"/>
      <c r="C632" s="15"/>
      <c r="D632" s="15"/>
      <c r="E632" s="15"/>
      <c r="F632" s="15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>
      <c r="A633" s="2"/>
      <c r="B633" s="15"/>
      <c r="C633" s="15"/>
      <c r="D633" s="15"/>
      <c r="E633" s="15"/>
      <c r="F633" s="15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>
      <c r="A634" s="2"/>
      <c r="B634" s="15"/>
      <c r="C634" s="15"/>
      <c r="D634" s="15"/>
      <c r="E634" s="15"/>
      <c r="F634" s="15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>
      <c r="A635" s="2"/>
      <c r="B635" s="15"/>
      <c r="C635" s="15"/>
      <c r="D635" s="15"/>
      <c r="E635" s="15"/>
      <c r="F635" s="15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>
      <c r="A636" s="2"/>
      <c r="B636" s="15"/>
      <c r="C636" s="15"/>
      <c r="D636" s="15"/>
      <c r="E636" s="15"/>
      <c r="F636" s="15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>
      <c r="A637" s="2"/>
      <c r="B637" s="15"/>
      <c r="C637" s="15"/>
      <c r="D637" s="15"/>
      <c r="E637" s="15"/>
      <c r="F637" s="15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>
      <c r="A638" s="2"/>
      <c r="B638" s="15"/>
      <c r="C638" s="15"/>
      <c r="D638" s="15"/>
      <c r="E638" s="15"/>
      <c r="F638" s="15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>
      <c r="A639" s="2"/>
      <c r="B639" s="15"/>
      <c r="C639" s="15"/>
      <c r="D639" s="15"/>
      <c r="E639" s="15"/>
      <c r="F639" s="15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>
      <c r="A640" s="2"/>
      <c r="B640" s="15"/>
      <c r="C640" s="15"/>
      <c r="D640" s="15"/>
      <c r="E640" s="15"/>
      <c r="F640" s="15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>
      <c r="A641" s="2"/>
      <c r="B641" s="15"/>
      <c r="C641" s="15"/>
      <c r="D641" s="15"/>
      <c r="E641" s="15"/>
      <c r="F641" s="15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>
      <c r="A642" s="2"/>
      <c r="B642" s="15"/>
      <c r="C642" s="15"/>
      <c r="D642" s="15"/>
      <c r="E642" s="15"/>
      <c r="F642" s="15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>
      <c r="A643" s="2"/>
      <c r="B643" s="15"/>
      <c r="C643" s="15"/>
      <c r="D643" s="15"/>
      <c r="E643" s="15"/>
      <c r="F643" s="15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>
      <c r="A644" s="2"/>
      <c r="B644" s="15"/>
      <c r="C644" s="15"/>
      <c r="D644" s="15"/>
      <c r="E644" s="15"/>
      <c r="F644" s="15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>
      <c r="A645" s="2"/>
      <c r="B645" s="15"/>
      <c r="C645" s="15"/>
      <c r="D645" s="15"/>
      <c r="E645" s="15"/>
      <c r="F645" s="15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>
      <c r="A646" s="2"/>
      <c r="B646" s="15"/>
      <c r="C646" s="15"/>
      <c r="D646" s="15"/>
      <c r="E646" s="15"/>
      <c r="F646" s="15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>
      <c r="A647" s="2"/>
      <c r="B647" s="15"/>
      <c r="C647" s="15"/>
      <c r="D647" s="15"/>
      <c r="E647" s="15"/>
      <c r="F647" s="15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>
      <c r="A648" s="2"/>
      <c r="B648" s="15"/>
      <c r="C648" s="15"/>
      <c r="D648" s="15"/>
      <c r="E648" s="15"/>
      <c r="F648" s="15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>
      <c r="A649" s="2"/>
      <c r="B649" s="15"/>
      <c r="C649" s="15"/>
      <c r="D649" s="15"/>
      <c r="E649" s="15"/>
      <c r="F649" s="15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>
      <c r="A650" s="2"/>
      <c r="B650" s="15"/>
      <c r="C650" s="15"/>
      <c r="D650" s="15"/>
      <c r="E650" s="15"/>
      <c r="F650" s="15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>
      <c r="A651" s="2"/>
      <c r="B651" s="15"/>
      <c r="C651" s="15"/>
      <c r="D651" s="15"/>
      <c r="E651" s="15"/>
      <c r="F651" s="15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>
      <c r="A652" s="2"/>
      <c r="B652" s="15"/>
      <c r="C652" s="15"/>
      <c r="D652" s="15"/>
      <c r="E652" s="15"/>
      <c r="F652" s="15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>
      <c r="A653" s="2"/>
      <c r="B653" s="15"/>
      <c r="C653" s="15"/>
      <c r="D653" s="15"/>
      <c r="E653" s="15"/>
      <c r="F653" s="15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>
      <c r="A654" s="2"/>
      <c r="B654" s="15"/>
      <c r="C654" s="15"/>
      <c r="D654" s="15"/>
      <c r="E654" s="15"/>
      <c r="F654" s="15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>
      <c r="A655" s="2"/>
      <c r="B655" s="15"/>
      <c r="C655" s="15"/>
      <c r="D655" s="15"/>
      <c r="E655" s="15"/>
      <c r="F655" s="15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>
      <c r="A656" s="2"/>
      <c r="B656" s="15"/>
      <c r="C656" s="15"/>
      <c r="D656" s="15"/>
      <c r="E656" s="15"/>
      <c r="F656" s="15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>
      <c r="A657" s="2"/>
      <c r="B657" s="15"/>
      <c r="C657" s="15"/>
      <c r="D657" s="15"/>
      <c r="E657" s="15"/>
      <c r="F657" s="15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>
      <c r="A658" s="2"/>
      <c r="B658" s="15"/>
      <c r="C658" s="15"/>
      <c r="D658" s="15"/>
      <c r="E658" s="15"/>
      <c r="F658" s="15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>
      <c r="A659" s="2"/>
      <c r="B659" s="15"/>
      <c r="C659" s="15"/>
      <c r="D659" s="15"/>
      <c r="E659" s="15"/>
      <c r="F659" s="15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>
      <c r="A660" s="2"/>
      <c r="B660" s="15"/>
      <c r="C660" s="15"/>
      <c r="D660" s="15"/>
      <c r="E660" s="15"/>
      <c r="F660" s="15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>
      <c r="A661" s="2"/>
      <c r="B661" s="15"/>
      <c r="C661" s="15"/>
      <c r="D661" s="15"/>
      <c r="E661" s="15"/>
      <c r="F661" s="15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>
      <c r="A662" s="2"/>
      <c r="B662" s="15"/>
      <c r="C662" s="15"/>
      <c r="D662" s="15"/>
      <c r="E662" s="15"/>
      <c r="F662" s="15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>
      <c r="A663" s="2"/>
      <c r="B663" s="15"/>
      <c r="C663" s="15"/>
      <c r="D663" s="15"/>
      <c r="E663" s="15"/>
      <c r="F663" s="15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>
      <c r="A664" s="2"/>
      <c r="B664" s="15"/>
      <c r="C664" s="15"/>
      <c r="D664" s="15"/>
      <c r="E664" s="15"/>
      <c r="F664" s="15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>
      <c r="A665" s="2"/>
      <c r="B665" s="15"/>
      <c r="C665" s="15"/>
      <c r="D665" s="15"/>
      <c r="E665" s="15"/>
      <c r="F665" s="15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>
      <c r="A666" s="2"/>
      <c r="B666" s="15"/>
      <c r="C666" s="15"/>
      <c r="D666" s="15"/>
      <c r="E666" s="15"/>
      <c r="F666" s="15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>
      <c r="A667" s="2"/>
      <c r="B667" s="15"/>
      <c r="C667" s="15"/>
      <c r="D667" s="15"/>
      <c r="E667" s="15"/>
      <c r="F667" s="15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>
      <c r="A668" s="2"/>
      <c r="B668" s="15"/>
      <c r="C668" s="15"/>
      <c r="D668" s="15"/>
      <c r="E668" s="15"/>
      <c r="F668" s="15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>
      <c r="A669" s="2"/>
      <c r="B669" s="15"/>
      <c r="C669" s="15"/>
      <c r="D669" s="15"/>
      <c r="E669" s="15"/>
      <c r="F669" s="15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>
      <c r="A670" s="2"/>
      <c r="B670" s="15"/>
      <c r="C670" s="15"/>
      <c r="D670" s="15"/>
      <c r="E670" s="15"/>
      <c r="F670" s="15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>
      <c r="A671" s="2"/>
      <c r="B671" s="15"/>
      <c r="C671" s="15"/>
      <c r="D671" s="15"/>
      <c r="E671" s="15"/>
      <c r="F671" s="15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>
      <c r="A672" s="2"/>
      <c r="B672" s="15"/>
      <c r="C672" s="15"/>
      <c r="D672" s="15"/>
      <c r="E672" s="15"/>
      <c r="F672" s="15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>
      <c r="A673" s="2"/>
      <c r="B673" s="15"/>
      <c r="C673" s="15"/>
      <c r="D673" s="15"/>
      <c r="E673" s="15"/>
      <c r="F673" s="15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>
      <c r="A674" s="2"/>
      <c r="B674" s="15"/>
      <c r="C674" s="15"/>
      <c r="D674" s="15"/>
      <c r="E674" s="15"/>
      <c r="F674" s="15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>
      <c r="A675" s="2"/>
      <c r="B675" s="15"/>
      <c r="C675" s="15"/>
      <c r="D675" s="15"/>
      <c r="E675" s="15"/>
      <c r="F675" s="15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>
      <c r="A676" s="2"/>
      <c r="B676" s="15"/>
      <c r="C676" s="15"/>
      <c r="D676" s="15"/>
      <c r="E676" s="15"/>
      <c r="F676" s="15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>
      <c r="A677" s="2"/>
      <c r="B677" s="15"/>
      <c r="C677" s="15"/>
      <c r="D677" s="15"/>
      <c r="E677" s="15"/>
      <c r="F677" s="15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>
      <c r="A678" s="2"/>
      <c r="B678" s="15"/>
      <c r="C678" s="15"/>
      <c r="D678" s="15"/>
      <c r="E678" s="15"/>
      <c r="F678" s="15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>
      <c r="A679" s="2"/>
      <c r="B679" s="15"/>
      <c r="C679" s="15"/>
      <c r="D679" s="15"/>
      <c r="E679" s="15"/>
      <c r="F679" s="15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>
      <c r="A680" s="2"/>
      <c r="B680" s="15"/>
      <c r="C680" s="15"/>
      <c r="D680" s="15"/>
      <c r="E680" s="15"/>
      <c r="F680" s="15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>
      <c r="A681" s="2"/>
      <c r="B681" s="15"/>
      <c r="C681" s="15"/>
      <c r="D681" s="15"/>
      <c r="E681" s="15"/>
      <c r="F681" s="15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>
      <c r="A682" s="2"/>
      <c r="B682" s="15"/>
      <c r="C682" s="15"/>
      <c r="D682" s="15"/>
      <c r="E682" s="15"/>
      <c r="F682" s="15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>
      <c r="A683" s="2"/>
      <c r="B683" s="15"/>
      <c r="C683" s="15"/>
      <c r="D683" s="15"/>
      <c r="E683" s="15"/>
      <c r="F683" s="15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>
      <c r="A684" s="2"/>
      <c r="B684" s="15"/>
      <c r="C684" s="15"/>
      <c r="D684" s="15"/>
      <c r="E684" s="15"/>
      <c r="F684" s="15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>
      <c r="A685" s="2"/>
      <c r="B685" s="15"/>
      <c r="C685" s="15"/>
      <c r="D685" s="15"/>
      <c r="E685" s="15"/>
      <c r="F685" s="15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>
      <c r="A686" s="2"/>
      <c r="B686" s="15"/>
      <c r="C686" s="15"/>
      <c r="D686" s="15"/>
      <c r="E686" s="15"/>
      <c r="F686" s="15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>
      <c r="A687" s="2"/>
      <c r="B687" s="15"/>
      <c r="C687" s="15"/>
      <c r="D687" s="15"/>
      <c r="E687" s="15"/>
      <c r="F687" s="15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>
      <c r="A688" s="2"/>
      <c r="B688" s="15"/>
      <c r="C688" s="15"/>
      <c r="D688" s="15"/>
      <c r="E688" s="15"/>
      <c r="F688" s="15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>
      <c r="A689" s="2"/>
      <c r="B689" s="15"/>
      <c r="C689" s="15"/>
      <c r="D689" s="15"/>
      <c r="E689" s="15"/>
      <c r="F689" s="15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>
      <c r="A690" s="2"/>
      <c r="B690" s="15"/>
      <c r="C690" s="15"/>
      <c r="D690" s="15"/>
      <c r="E690" s="15"/>
      <c r="F690" s="15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>
      <c r="A691" s="2"/>
      <c r="B691" s="15"/>
      <c r="C691" s="15"/>
      <c r="D691" s="15"/>
      <c r="E691" s="15"/>
      <c r="F691" s="15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>
      <c r="A692" s="2"/>
      <c r="B692" s="15"/>
      <c r="C692" s="15"/>
      <c r="D692" s="15"/>
      <c r="E692" s="15"/>
      <c r="F692" s="15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>
      <c r="A693" s="2"/>
      <c r="B693" s="15"/>
      <c r="C693" s="15"/>
      <c r="D693" s="15"/>
      <c r="E693" s="15"/>
      <c r="F693" s="15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>
      <c r="A694" s="2"/>
      <c r="B694" s="15"/>
      <c r="C694" s="15"/>
      <c r="D694" s="15"/>
      <c r="E694" s="15"/>
      <c r="F694" s="15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>
      <c r="A695" s="2"/>
      <c r="B695" s="15"/>
      <c r="C695" s="15"/>
      <c r="D695" s="15"/>
      <c r="E695" s="15"/>
      <c r="F695" s="15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>
      <c r="A696" s="2"/>
      <c r="B696" s="15"/>
      <c r="C696" s="15"/>
      <c r="D696" s="15"/>
      <c r="E696" s="15"/>
      <c r="F696" s="15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>
      <c r="A697" s="2"/>
      <c r="B697" s="15"/>
      <c r="C697" s="15"/>
      <c r="D697" s="15"/>
      <c r="E697" s="15"/>
      <c r="F697" s="15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>
      <c r="A698" s="2"/>
      <c r="B698" s="15"/>
      <c r="C698" s="15"/>
      <c r="D698" s="15"/>
      <c r="E698" s="15"/>
      <c r="F698" s="15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>
      <c r="A699" s="2"/>
      <c r="B699" s="15"/>
      <c r="C699" s="15"/>
      <c r="D699" s="15"/>
      <c r="E699" s="15"/>
      <c r="F699" s="15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>
      <c r="A700" s="2"/>
      <c r="B700" s="15"/>
      <c r="C700" s="15"/>
      <c r="D700" s="15"/>
      <c r="E700" s="15"/>
      <c r="F700" s="15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>
      <c r="A701" s="2"/>
      <c r="B701" s="15"/>
      <c r="C701" s="15"/>
      <c r="D701" s="15"/>
      <c r="E701" s="15"/>
      <c r="F701" s="15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>
      <c r="A702" s="2"/>
      <c r="B702" s="15"/>
      <c r="C702" s="15"/>
      <c r="D702" s="15"/>
      <c r="E702" s="15"/>
      <c r="F702" s="15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>
      <c r="A703" s="2"/>
      <c r="B703" s="15"/>
      <c r="C703" s="15"/>
      <c r="D703" s="15"/>
      <c r="E703" s="15"/>
      <c r="F703" s="15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>
      <c r="A704" s="2"/>
      <c r="B704" s="15"/>
      <c r="C704" s="15"/>
      <c r="D704" s="15"/>
      <c r="E704" s="15"/>
      <c r="F704" s="15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>
      <c r="A705" s="2"/>
      <c r="B705" s="15"/>
      <c r="C705" s="15"/>
      <c r="D705" s="15"/>
      <c r="E705" s="15"/>
      <c r="F705" s="15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>
      <c r="A706" s="2"/>
      <c r="B706" s="15"/>
      <c r="C706" s="15"/>
      <c r="D706" s="15"/>
      <c r="E706" s="15"/>
      <c r="F706" s="15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>
      <c r="A707" s="2"/>
      <c r="B707" s="15"/>
      <c r="C707" s="15"/>
      <c r="D707" s="15"/>
      <c r="E707" s="15"/>
      <c r="F707" s="15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>
      <c r="A708" s="2"/>
      <c r="B708" s="15"/>
      <c r="C708" s="15"/>
      <c r="D708" s="15"/>
      <c r="E708" s="15"/>
      <c r="F708" s="15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>
      <c r="A709" s="2"/>
      <c r="B709" s="15"/>
      <c r="C709" s="15"/>
      <c r="D709" s="15"/>
      <c r="E709" s="15"/>
      <c r="F709" s="15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>
      <c r="A710" s="2"/>
      <c r="B710" s="15"/>
      <c r="C710" s="15"/>
      <c r="D710" s="15"/>
      <c r="E710" s="15"/>
      <c r="F710" s="15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>
      <c r="A711" s="2"/>
      <c r="B711" s="15"/>
      <c r="C711" s="15"/>
      <c r="D711" s="15"/>
      <c r="E711" s="15"/>
      <c r="F711" s="15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>
      <c r="A712" s="2"/>
      <c r="B712" s="15"/>
      <c r="C712" s="15"/>
      <c r="D712" s="15"/>
      <c r="E712" s="15"/>
      <c r="F712" s="15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>
      <c r="A713" s="2"/>
      <c r="B713" s="15"/>
      <c r="C713" s="15"/>
      <c r="D713" s="15"/>
      <c r="E713" s="15"/>
      <c r="F713" s="15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>
      <c r="A714" s="2"/>
      <c r="B714" s="15"/>
      <c r="C714" s="15"/>
      <c r="D714" s="15"/>
      <c r="E714" s="15"/>
      <c r="F714" s="15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>
      <c r="A715" s="2"/>
      <c r="B715" s="15"/>
      <c r="C715" s="15"/>
      <c r="D715" s="15"/>
      <c r="E715" s="15"/>
      <c r="F715" s="15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>
      <c r="A716" s="2"/>
      <c r="B716" s="15"/>
      <c r="C716" s="15"/>
      <c r="D716" s="15"/>
      <c r="E716" s="15"/>
      <c r="F716" s="15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>
      <c r="A717" s="2"/>
      <c r="B717" s="15"/>
      <c r="C717" s="15"/>
      <c r="D717" s="15"/>
      <c r="E717" s="15"/>
      <c r="F717" s="15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>
      <c r="A718" s="2"/>
      <c r="B718" s="15"/>
      <c r="C718" s="15"/>
      <c r="D718" s="15"/>
      <c r="E718" s="15"/>
      <c r="F718" s="15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>
      <c r="A719" s="2"/>
      <c r="B719" s="15"/>
      <c r="C719" s="15"/>
      <c r="D719" s="15"/>
      <c r="E719" s="15"/>
      <c r="F719" s="15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>
      <c r="A720" s="2"/>
      <c r="B720" s="15"/>
      <c r="C720" s="15"/>
      <c r="D720" s="15"/>
      <c r="E720" s="15"/>
      <c r="F720" s="15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>
      <c r="A721" s="2"/>
      <c r="B721" s="15"/>
      <c r="C721" s="15"/>
      <c r="D721" s="15"/>
      <c r="E721" s="15"/>
      <c r="F721" s="15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>
      <c r="A722" s="2"/>
      <c r="B722" s="15"/>
      <c r="C722" s="15"/>
      <c r="D722" s="15"/>
      <c r="E722" s="15"/>
      <c r="F722" s="15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>
      <c r="A723" s="2"/>
      <c r="B723" s="15"/>
      <c r="C723" s="15"/>
      <c r="D723" s="15"/>
      <c r="E723" s="15"/>
      <c r="F723" s="15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>
      <c r="A724" s="2"/>
      <c r="B724" s="15"/>
      <c r="C724" s="15"/>
      <c r="D724" s="15"/>
      <c r="E724" s="15"/>
      <c r="F724" s="15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>
      <c r="A725" s="2"/>
      <c r="B725" s="15"/>
      <c r="C725" s="15"/>
      <c r="D725" s="15"/>
      <c r="E725" s="15"/>
      <c r="F725" s="15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>
      <c r="A726" s="2"/>
      <c r="B726" s="15"/>
      <c r="C726" s="15"/>
      <c r="D726" s="15"/>
      <c r="E726" s="15"/>
      <c r="F726" s="15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>
      <c r="A727" s="2"/>
      <c r="B727" s="15"/>
      <c r="C727" s="15"/>
      <c r="D727" s="15"/>
      <c r="E727" s="15"/>
      <c r="F727" s="15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>
      <c r="A728" s="2"/>
      <c r="B728" s="15"/>
      <c r="C728" s="15"/>
      <c r="D728" s="15"/>
      <c r="E728" s="15"/>
      <c r="F728" s="15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>
      <c r="A729" s="2"/>
      <c r="B729" s="15"/>
      <c r="C729" s="15"/>
      <c r="D729" s="15"/>
      <c r="E729" s="15"/>
      <c r="F729" s="15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>
      <c r="A730" s="2"/>
      <c r="B730" s="15"/>
      <c r="C730" s="15"/>
      <c r="D730" s="15"/>
      <c r="E730" s="15"/>
      <c r="F730" s="15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>
      <c r="A731" s="2"/>
      <c r="B731" s="15"/>
      <c r="C731" s="15"/>
      <c r="D731" s="15"/>
      <c r="E731" s="15"/>
      <c r="F731" s="15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>
      <c r="A732" s="2"/>
      <c r="B732" s="15"/>
      <c r="C732" s="15"/>
      <c r="D732" s="15"/>
      <c r="E732" s="15"/>
      <c r="F732" s="15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>
      <c r="A733" s="2"/>
      <c r="B733" s="15"/>
      <c r="C733" s="15"/>
      <c r="D733" s="15"/>
      <c r="E733" s="15"/>
      <c r="F733" s="15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>
      <c r="A734" s="2"/>
      <c r="B734" s="15"/>
      <c r="C734" s="15"/>
      <c r="D734" s="15"/>
      <c r="E734" s="15"/>
      <c r="F734" s="15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>
      <c r="A735" s="2"/>
      <c r="B735" s="15"/>
      <c r="C735" s="15"/>
      <c r="D735" s="15"/>
      <c r="E735" s="15"/>
      <c r="F735" s="15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>
      <c r="A736" s="2"/>
      <c r="B736" s="15"/>
      <c r="C736" s="15"/>
      <c r="D736" s="15"/>
      <c r="E736" s="15"/>
      <c r="F736" s="15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>
      <c r="A737" s="2"/>
      <c r="B737" s="15"/>
      <c r="C737" s="15"/>
      <c r="D737" s="15"/>
      <c r="E737" s="15"/>
      <c r="F737" s="15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>
      <c r="A738" s="2"/>
      <c r="B738" s="15"/>
      <c r="C738" s="15"/>
      <c r="D738" s="15"/>
      <c r="E738" s="15"/>
      <c r="F738" s="15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>
      <c r="A739" s="2"/>
      <c r="B739" s="15"/>
      <c r="C739" s="15"/>
      <c r="D739" s="15"/>
      <c r="E739" s="15"/>
      <c r="F739" s="15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>
      <c r="A740" s="2"/>
      <c r="B740" s="15"/>
      <c r="C740" s="15"/>
      <c r="D740" s="15"/>
      <c r="E740" s="15"/>
      <c r="F740" s="15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>
      <c r="A741" s="2"/>
      <c r="B741" s="15"/>
      <c r="C741" s="15"/>
      <c r="D741" s="15"/>
      <c r="E741" s="15"/>
      <c r="F741" s="15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>
      <c r="A742" s="2"/>
      <c r="B742" s="15"/>
      <c r="C742" s="15"/>
      <c r="D742" s="15"/>
      <c r="E742" s="15"/>
      <c r="F742" s="15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>
      <c r="A743" s="2"/>
      <c r="B743" s="15"/>
      <c r="C743" s="15"/>
      <c r="D743" s="15"/>
      <c r="E743" s="15"/>
      <c r="F743" s="15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>
      <c r="A744" s="2"/>
      <c r="B744" s="15"/>
      <c r="C744" s="15"/>
      <c r="D744" s="15"/>
      <c r="E744" s="15"/>
      <c r="F744" s="15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>
      <c r="A745" s="2"/>
      <c r="B745" s="15"/>
      <c r="C745" s="15"/>
      <c r="D745" s="15"/>
      <c r="E745" s="15"/>
      <c r="F745" s="15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>
      <c r="A746" s="2"/>
      <c r="B746" s="15"/>
      <c r="C746" s="15"/>
      <c r="D746" s="15"/>
      <c r="E746" s="15"/>
      <c r="F746" s="15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>
      <c r="A747" s="2"/>
      <c r="B747" s="15"/>
      <c r="C747" s="15"/>
      <c r="D747" s="15"/>
      <c r="E747" s="15"/>
      <c r="F747" s="15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>
      <c r="A748" s="2"/>
      <c r="B748" s="15"/>
      <c r="C748" s="15"/>
      <c r="D748" s="15"/>
      <c r="E748" s="15"/>
      <c r="F748" s="15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>
      <c r="A749" s="2"/>
      <c r="B749" s="15"/>
      <c r="C749" s="15"/>
      <c r="D749" s="15"/>
      <c r="E749" s="15"/>
      <c r="F749" s="15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>
      <c r="A750" s="2"/>
      <c r="B750" s="15"/>
      <c r="C750" s="15"/>
      <c r="D750" s="15"/>
      <c r="E750" s="15"/>
      <c r="F750" s="15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>
      <c r="A751" s="2"/>
      <c r="B751" s="15"/>
      <c r="C751" s="15"/>
      <c r="D751" s="15"/>
      <c r="E751" s="15"/>
      <c r="F751" s="15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>
      <c r="A752" s="2"/>
      <c r="B752" s="15"/>
      <c r="C752" s="15"/>
      <c r="D752" s="15"/>
      <c r="E752" s="15"/>
      <c r="F752" s="15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>
      <c r="A753" s="2"/>
      <c r="B753" s="15"/>
      <c r="C753" s="15"/>
      <c r="D753" s="15"/>
      <c r="E753" s="15"/>
      <c r="F753" s="15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>
      <c r="A754" s="2"/>
      <c r="B754" s="15"/>
      <c r="C754" s="15"/>
      <c r="D754" s="15"/>
      <c r="E754" s="15"/>
      <c r="F754" s="15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>
      <c r="A755" s="2"/>
      <c r="B755" s="15"/>
      <c r="C755" s="15"/>
      <c r="D755" s="15"/>
      <c r="E755" s="15"/>
      <c r="F755" s="15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>
      <c r="A756" s="2"/>
      <c r="B756" s="15"/>
      <c r="C756" s="15"/>
      <c r="D756" s="15"/>
      <c r="E756" s="15"/>
      <c r="F756" s="15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>
      <c r="A757" s="2"/>
      <c r="B757" s="15"/>
      <c r="C757" s="15"/>
      <c r="D757" s="15"/>
      <c r="E757" s="15"/>
      <c r="F757" s="15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>
      <c r="A758" s="2"/>
      <c r="B758" s="15"/>
      <c r="C758" s="15"/>
      <c r="D758" s="15"/>
      <c r="E758" s="15"/>
      <c r="F758" s="15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>
      <c r="A759" s="2"/>
      <c r="B759" s="15"/>
      <c r="C759" s="15"/>
      <c r="D759" s="15"/>
      <c r="E759" s="15"/>
      <c r="F759" s="15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>
      <c r="A760" s="2"/>
      <c r="B760" s="15"/>
      <c r="C760" s="15"/>
      <c r="D760" s="15"/>
      <c r="E760" s="15"/>
      <c r="F760" s="15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>
      <c r="A761" s="2"/>
      <c r="B761" s="15"/>
      <c r="C761" s="15"/>
      <c r="D761" s="15"/>
      <c r="E761" s="15"/>
      <c r="F761" s="15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>
      <c r="A762" s="2"/>
      <c r="B762" s="15"/>
      <c r="C762" s="15"/>
      <c r="D762" s="15"/>
      <c r="E762" s="15"/>
      <c r="F762" s="15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>
      <c r="A763" s="2"/>
      <c r="B763" s="15"/>
      <c r="C763" s="15"/>
      <c r="D763" s="15"/>
      <c r="E763" s="15"/>
      <c r="F763" s="15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>
      <c r="A764" s="2"/>
      <c r="B764" s="15"/>
      <c r="C764" s="15"/>
      <c r="D764" s="15"/>
      <c r="E764" s="15"/>
      <c r="F764" s="15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>
      <c r="A765" s="2"/>
      <c r="B765" s="15"/>
      <c r="C765" s="15"/>
      <c r="D765" s="15"/>
      <c r="E765" s="15"/>
      <c r="F765" s="15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>
      <c r="A766" s="2"/>
      <c r="B766" s="15"/>
      <c r="C766" s="15"/>
      <c r="D766" s="15"/>
      <c r="E766" s="15"/>
      <c r="F766" s="15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>
      <c r="A767" s="2"/>
      <c r="B767" s="15"/>
      <c r="C767" s="15"/>
      <c r="D767" s="15"/>
      <c r="E767" s="15"/>
      <c r="F767" s="15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>
      <c r="A768" s="2"/>
      <c r="B768" s="15"/>
      <c r="C768" s="15"/>
      <c r="D768" s="15"/>
      <c r="E768" s="15"/>
      <c r="F768" s="15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>
      <c r="A769" s="2"/>
      <c r="B769" s="15"/>
      <c r="C769" s="15"/>
      <c r="D769" s="15"/>
      <c r="E769" s="15"/>
      <c r="F769" s="15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>
      <c r="A770" s="2"/>
      <c r="B770" s="15"/>
      <c r="C770" s="15"/>
      <c r="D770" s="15"/>
      <c r="E770" s="15"/>
      <c r="F770" s="15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>
      <c r="A771" s="2"/>
      <c r="B771" s="15"/>
      <c r="C771" s="15"/>
      <c r="D771" s="15"/>
      <c r="E771" s="15"/>
      <c r="F771" s="15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>
      <c r="A772" s="2"/>
      <c r="B772" s="15"/>
      <c r="C772" s="15"/>
      <c r="D772" s="15"/>
      <c r="E772" s="15"/>
      <c r="F772" s="15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>
      <c r="A773" s="2"/>
      <c r="B773" s="15"/>
      <c r="C773" s="15"/>
      <c r="D773" s="15"/>
      <c r="E773" s="15"/>
      <c r="F773" s="15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>
      <c r="A774" s="2"/>
      <c r="B774" s="15"/>
      <c r="C774" s="15"/>
      <c r="D774" s="15"/>
      <c r="E774" s="15"/>
      <c r="F774" s="15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>
      <c r="A775" s="2"/>
      <c r="B775" s="15"/>
      <c r="C775" s="15"/>
      <c r="D775" s="15"/>
      <c r="E775" s="15"/>
      <c r="F775" s="15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>
      <c r="A776" s="2"/>
      <c r="B776" s="15"/>
      <c r="C776" s="15"/>
      <c r="D776" s="15"/>
      <c r="E776" s="15"/>
      <c r="F776" s="15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>
      <c r="A777" s="2"/>
      <c r="B777" s="15"/>
      <c r="C777" s="15"/>
      <c r="D777" s="15"/>
      <c r="E777" s="15"/>
      <c r="F777" s="15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>
      <c r="A778" s="2"/>
      <c r="B778" s="15"/>
      <c r="C778" s="15"/>
      <c r="D778" s="15"/>
      <c r="E778" s="15"/>
      <c r="F778" s="15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>
      <c r="A779" s="2"/>
      <c r="B779" s="15"/>
      <c r="C779" s="15"/>
      <c r="D779" s="15"/>
      <c r="E779" s="15"/>
      <c r="F779" s="15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>
      <c r="A780" s="2"/>
      <c r="B780" s="15"/>
      <c r="C780" s="15"/>
      <c r="D780" s="15"/>
      <c r="E780" s="15"/>
      <c r="F780" s="15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>
      <c r="A781" s="2"/>
      <c r="B781" s="15"/>
      <c r="C781" s="15"/>
      <c r="D781" s="15"/>
      <c r="E781" s="15"/>
      <c r="F781" s="15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>
      <c r="A782" s="2"/>
      <c r="B782" s="15"/>
      <c r="C782" s="15"/>
      <c r="D782" s="15"/>
      <c r="E782" s="15"/>
      <c r="F782" s="15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>
      <c r="A783" s="2"/>
      <c r="B783" s="15"/>
      <c r="C783" s="15"/>
      <c r="D783" s="15"/>
      <c r="E783" s="15"/>
      <c r="F783" s="15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>
      <c r="A784" s="2"/>
      <c r="B784" s="15"/>
      <c r="C784" s="15"/>
      <c r="D784" s="15"/>
      <c r="E784" s="15"/>
      <c r="F784" s="15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>
      <c r="A785" s="2"/>
      <c r="B785" s="15"/>
      <c r="C785" s="15"/>
      <c r="D785" s="15"/>
      <c r="E785" s="15"/>
      <c r="F785" s="15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>
      <c r="A786" s="2"/>
      <c r="B786" s="15"/>
      <c r="C786" s="15"/>
      <c r="D786" s="15"/>
      <c r="E786" s="15"/>
      <c r="F786" s="15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>
      <c r="A787" s="2"/>
      <c r="B787" s="15"/>
      <c r="C787" s="15"/>
      <c r="D787" s="15"/>
      <c r="E787" s="15"/>
      <c r="F787" s="15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>
      <c r="A788" s="2"/>
      <c r="B788" s="15"/>
      <c r="C788" s="15"/>
      <c r="D788" s="15"/>
      <c r="E788" s="15"/>
      <c r="F788" s="15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>
      <c r="A789" s="2"/>
      <c r="B789" s="15"/>
      <c r="C789" s="15"/>
      <c r="D789" s="15"/>
      <c r="E789" s="15"/>
      <c r="F789" s="15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>
      <c r="A790" s="2"/>
      <c r="B790" s="15"/>
      <c r="C790" s="15"/>
      <c r="D790" s="15"/>
      <c r="E790" s="15"/>
      <c r="F790" s="15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>
      <c r="A791" s="2"/>
      <c r="B791" s="15"/>
      <c r="C791" s="15"/>
      <c r="D791" s="15"/>
      <c r="E791" s="15"/>
      <c r="F791" s="15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>
      <c r="A792" s="2"/>
      <c r="B792" s="15"/>
      <c r="C792" s="15"/>
      <c r="D792" s="15"/>
      <c r="E792" s="15"/>
      <c r="F792" s="15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>
      <c r="A793" s="2"/>
      <c r="B793" s="15"/>
      <c r="C793" s="15"/>
      <c r="D793" s="15"/>
      <c r="E793" s="15"/>
      <c r="F793" s="15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>
      <c r="A794" s="2"/>
      <c r="B794" s="15"/>
      <c r="C794" s="15"/>
      <c r="D794" s="15"/>
      <c r="E794" s="15"/>
      <c r="F794" s="15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>
      <c r="A795" s="2"/>
      <c r="B795" s="15"/>
      <c r="C795" s="15"/>
      <c r="D795" s="15"/>
      <c r="E795" s="15"/>
      <c r="F795" s="15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>
      <c r="A796" s="2"/>
      <c r="B796" s="15"/>
      <c r="C796" s="15"/>
      <c r="D796" s="15"/>
      <c r="E796" s="15"/>
      <c r="F796" s="15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>
      <c r="A797" s="2"/>
      <c r="B797" s="15"/>
      <c r="C797" s="15"/>
      <c r="D797" s="15"/>
      <c r="E797" s="15"/>
      <c r="F797" s="15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>
      <c r="A798" s="2"/>
      <c r="B798" s="15"/>
      <c r="C798" s="15"/>
      <c r="D798" s="15"/>
      <c r="E798" s="15"/>
      <c r="F798" s="15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>
      <c r="A799" s="2"/>
      <c r="B799" s="15"/>
      <c r="C799" s="15"/>
      <c r="D799" s="15"/>
      <c r="E799" s="15"/>
      <c r="F799" s="15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>
      <c r="A800" s="2"/>
      <c r="B800" s="15"/>
      <c r="C800" s="15"/>
      <c r="D800" s="15"/>
      <c r="E800" s="15"/>
      <c r="F800" s="15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>
      <c r="A801" s="2"/>
      <c r="B801" s="15"/>
      <c r="C801" s="15"/>
      <c r="D801" s="15"/>
      <c r="E801" s="15"/>
      <c r="F801" s="15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>
      <c r="A802" s="2"/>
      <c r="B802" s="15"/>
      <c r="C802" s="15"/>
      <c r="D802" s="15"/>
      <c r="E802" s="15"/>
      <c r="F802" s="15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>
      <c r="A803" s="2"/>
      <c r="B803" s="15"/>
      <c r="C803" s="15"/>
      <c r="D803" s="15"/>
      <c r="E803" s="15"/>
      <c r="F803" s="15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>
      <c r="A804" s="2"/>
      <c r="B804" s="15"/>
      <c r="C804" s="15"/>
      <c r="D804" s="15"/>
      <c r="E804" s="15"/>
      <c r="F804" s="15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>
      <c r="A805" s="2"/>
      <c r="B805" s="15"/>
      <c r="C805" s="15"/>
      <c r="D805" s="15"/>
      <c r="E805" s="15"/>
      <c r="F805" s="15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>
      <c r="A806" s="2"/>
      <c r="B806" s="15"/>
      <c r="C806" s="15"/>
      <c r="D806" s="15"/>
      <c r="E806" s="15"/>
      <c r="F806" s="15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>
      <c r="A807" s="2"/>
      <c r="B807" s="15"/>
      <c r="C807" s="15"/>
      <c r="D807" s="15"/>
      <c r="E807" s="15"/>
      <c r="F807" s="15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>
      <c r="A808" s="2"/>
      <c r="B808" s="15"/>
      <c r="C808" s="15"/>
      <c r="D808" s="15"/>
      <c r="E808" s="15"/>
      <c r="F808" s="15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>
      <c r="A809" s="2"/>
      <c r="B809" s="15"/>
      <c r="C809" s="15"/>
      <c r="D809" s="15"/>
      <c r="E809" s="15"/>
      <c r="F809" s="15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>
      <c r="A810" s="2"/>
      <c r="B810" s="15"/>
      <c r="C810" s="15"/>
      <c r="D810" s="15"/>
      <c r="E810" s="15"/>
      <c r="F810" s="15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>
      <c r="A811" s="2"/>
      <c r="B811" s="15"/>
      <c r="C811" s="15"/>
      <c r="D811" s="15"/>
      <c r="E811" s="15"/>
      <c r="F811" s="15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>
      <c r="A812" s="2"/>
      <c r="B812" s="15"/>
      <c r="C812" s="15"/>
      <c r="D812" s="15"/>
      <c r="E812" s="15"/>
      <c r="F812" s="15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>
      <c r="A813" s="2"/>
      <c r="B813" s="15"/>
      <c r="C813" s="15"/>
      <c r="D813" s="15"/>
      <c r="E813" s="15"/>
      <c r="F813" s="15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>
      <c r="A814" s="2"/>
      <c r="B814" s="15"/>
      <c r="C814" s="15"/>
      <c r="D814" s="15"/>
      <c r="E814" s="15"/>
      <c r="F814" s="15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>
      <c r="A815" s="2"/>
      <c r="B815" s="15"/>
      <c r="C815" s="15"/>
      <c r="D815" s="15"/>
      <c r="E815" s="15"/>
      <c r="F815" s="15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>
      <c r="A816" s="2"/>
      <c r="B816" s="15"/>
      <c r="C816" s="15"/>
      <c r="D816" s="15"/>
      <c r="E816" s="15"/>
      <c r="F816" s="15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>
      <c r="A817" s="2"/>
      <c r="B817" s="15"/>
      <c r="C817" s="15"/>
      <c r="D817" s="15"/>
      <c r="E817" s="15"/>
      <c r="F817" s="15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>
      <c r="A818" s="2"/>
      <c r="B818" s="15"/>
      <c r="C818" s="15"/>
      <c r="D818" s="15"/>
      <c r="E818" s="15"/>
      <c r="F818" s="15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>
      <c r="A819" s="2"/>
      <c r="B819" s="15"/>
      <c r="C819" s="15"/>
      <c r="D819" s="15"/>
      <c r="E819" s="15"/>
      <c r="F819" s="15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>
      <c r="A820" s="2"/>
      <c r="B820" s="15"/>
      <c r="C820" s="15"/>
      <c r="D820" s="15"/>
      <c r="E820" s="15"/>
      <c r="F820" s="15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>
      <c r="A821" s="2"/>
      <c r="B821" s="15"/>
      <c r="C821" s="15"/>
      <c r="D821" s="15"/>
      <c r="E821" s="15"/>
      <c r="F821" s="15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>
      <c r="A822" s="2"/>
      <c r="B822" s="15"/>
      <c r="C822" s="15"/>
      <c r="D822" s="15"/>
      <c r="E822" s="15"/>
      <c r="F822" s="15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>
      <c r="A823" s="2"/>
      <c r="B823" s="15"/>
      <c r="C823" s="15"/>
      <c r="D823" s="15"/>
      <c r="E823" s="15"/>
      <c r="F823" s="15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>
      <c r="A824" s="2"/>
      <c r="B824" s="15"/>
      <c r="C824" s="15"/>
      <c r="D824" s="15"/>
      <c r="E824" s="15"/>
      <c r="F824" s="15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>
      <c r="A825" s="2"/>
      <c r="B825" s="15"/>
      <c r="C825" s="15"/>
      <c r="D825" s="15"/>
      <c r="E825" s="15"/>
      <c r="F825" s="15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>
      <c r="A826" s="2"/>
      <c r="B826" s="15"/>
      <c r="C826" s="15"/>
      <c r="D826" s="15"/>
      <c r="E826" s="15"/>
      <c r="F826" s="15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>
      <c r="A827" s="2"/>
      <c r="B827" s="15"/>
      <c r="C827" s="15"/>
      <c r="D827" s="15"/>
      <c r="E827" s="15"/>
      <c r="F827" s="15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>
      <c r="A828" s="2"/>
      <c r="B828" s="15"/>
      <c r="C828" s="15"/>
      <c r="D828" s="15"/>
      <c r="E828" s="15"/>
      <c r="F828" s="15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>
      <c r="A829" s="2"/>
      <c r="B829" s="15"/>
      <c r="C829" s="15"/>
      <c r="D829" s="15"/>
      <c r="E829" s="15"/>
      <c r="F829" s="15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>
      <c r="A830" s="2"/>
      <c r="B830" s="15"/>
      <c r="C830" s="15"/>
      <c r="D830" s="15"/>
      <c r="E830" s="15"/>
      <c r="F830" s="15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>
      <c r="A831" s="2"/>
      <c r="B831" s="15"/>
      <c r="C831" s="15"/>
      <c r="D831" s="15"/>
      <c r="E831" s="15"/>
      <c r="F831" s="15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>
      <c r="A832" s="2"/>
      <c r="B832" s="15"/>
      <c r="C832" s="15"/>
      <c r="D832" s="15"/>
      <c r="E832" s="15"/>
      <c r="F832" s="15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>
      <c r="A833" s="2"/>
      <c r="B833" s="15"/>
      <c r="C833" s="15"/>
      <c r="D833" s="15"/>
      <c r="E833" s="15"/>
      <c r="F833" s="15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>
      <c r="A834" s="2"/>
      <c r="B834" s="15"/>
      <c r="C834" s="15"/>
      <c r="D834" s="15"/>
      <c r="E834" s="15"/>
      <c r="F834" s="15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>
      <c r="A835" s="2"/>
      <c r="B835" s="15"/>
      <c r="C835" s="15"/>
      <c r="D835" s="15"/>
      <c r="E835" s="15"/>
      <c r="F835" s="15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>
      <c r="A836" s="2"/>
      <c r="B836" s="15"/>
      <c r="C836" s="15"/>
      <c r="D836" s="15"/>
      <c r="E836" s="15"/>
      <c r="F836" s="15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>
      <c r="A837" s="2"/>
      <c r="B837" s="15"/>
      <c r="C837" s="15"/>
      <c r="D837" s="15"/>
      <c r="E837" s="15"/>
      <c r="F837" s="15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>
      <c r="A838" s="2"/>
      <c r="B838" s="15"/>
      <c r="C838" s="15"/>
      <c r="D838" s="15"/>
      <c r="E838" s="15"/>
      <c r="F838" s="15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>
      <c r="A839" s="2"/>
      <c r="B839" s="15"/>
      <c r="C839" s="15"/>
      <c r="D839" s="15"/>
      <c r="E839" s="15"/>
      <c r="F839" s="15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>
      <c r="A840" s="2"/>
      <c r="B840" s="15"/>
      <c r="C840" s="15"/>
      <c r="D840" s="15"/>
      <c r="E840" s="15"/>
      <c r="F840" s="15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>
      <c r="A841" s="2"/>
      <c r="B841" s="15"/>
      <c r="C841" s="15"/>
      <c r="D841" s="15"/>
      <c r="E841" s="15"/>
      <c r="F841" s="15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>
      <c r="A842" s="2"/>
      <c r="B842" s="15"/>
      <c r="C842" s="15"/>
      <c r="D842" s="15"/>
      <c r="E842" s="15"/>
      <c r="F842" s="15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>
      <c r="A843" s="2"/>
      <c r="B843" s="15"/>
      <c r="C843" s="15"/>
      <c r="D843" s="15"/>
      <c r="E843" s="15"/>
      <c r="F843" s="15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>
      <c r="A844" s="2"/>
      <c r="B844" s="15"/>
      <c r="C844" s="15"/>
      <c r="D844" s="15"/>
      <c r="E844" s="15"/>
      <c r="F844" s="15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>
      <c r="A845" s="2"/>
      <c r="B845" s="15"/>
      <c r="C845" s="15"/>
      <c r="D845" s="15"/>
      <c r="E845" s="15"/>
      <c r="F845" s="15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>
      <c r="A846" s="2"/>
      <c r="B846" s="15"/>
      <c r="C846" s="15"/>
      <c r="D846" s="15"/>
      <c r="E846" s="15"/>
      <c r="F846" s="15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>
      <c r="A847" s="2"/>
      <c r="B847" s="15"/>
      <c r="C847" s="15"/>
      <c r="D847" s="15"/>
      <c r="E847" s="15"/>
      <c r="F847" s="15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>
      <c r="A848" s="2"/>
      <c r="B848" s="15"/>
      <c r="C848" s="15"/>
      <c r="D848" s="15"/>
      <c r="E848" s="15"/>
      <c r="F848" s="15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>
      <c r="A849" s="2"/>
      <c r="B849" s="15"/>
      <c r="C849" s="15"/>
      <c r="D849" s="15"/>
      <c r="E849" s="15"/>
      <c r="F849" s="15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>
      <c r="A850" s="2"/>
      <c r="B850" s="15"/>
      <c r="C850" s="15"/>
      <c r="D850" s="15"/>
      <c r="E850" s="15"/>
      <c r="F850" s="15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>
      <c r="A851" s="2"/>
      <c r="B851" s="15"/>
      <c r="C851" s="15"/>
      <c r="D851" s="15"/>
      <c r="E851" s="15"/>
      <c r="F851" s="15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>
      <c r="A852" s="2"/>
      <c r="B852" s="15"/>
      <c r="C852" s="15"/>
      <c r="D852" s="15"/>
      <c r="E852" s="15"/>
      <c r="F852" s="15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>
      <c r="A853" s="2"/>
      <c r="B853" s="15"/>
      <c r="C853" s="15"/>
      <c r="D853" s="15"/>
      <c r="E853" s="15"/>
      <c r="F853" s="15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>
      <c r="A854" s="2"/>
      <c r="B854" s="15"/>
      <c r="C854" s="15"/>
      <c r="D854" s="15"/>
      <c r="E854" s="15"/>
      <c r="F854" s="15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>
      <c r="A855" s="2"/>
      <c r="B855" s="15"/>
      <c r="C855" s="15"/>
      <c r="D855" s="15"/>
      <c r="E855" s="15"/>
      <c r="F855" s="15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>
      <c r="A856" s="2"/>
      <c r="B856" s="15"/>
      <c r="C856" s="15"/>
      <c r="D856" s="15"/>
      <c r="E856" s="15"/>
      <c r="F856" s="15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>
      <c r="A857" s="2"/>
      <c r="B857" s="15"/>
      <c r="C857" s="15"/>
      <c r="D857" s="15"/>
      <c r="E857" s="15"/>
      <c r="F857" s="15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>
      <c r="A858" s="2"/>
      <c r="B858" s="15"/>
      <c r="C858" s="15"/>
      <c r="D858" s="15"/>
      <c r="E858" s="15"/>
      <c r="F858" s="15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>
      <c r="A859" s="2"/>
      <c r="B859" s="15"/>
      <c r="C859" s="15"/>
      <c r="D859" s="15"/>
      <c r="E859" s="15"/>
      <c r="F859" s="15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>
      <c r="A860" s="2"/>
      <c r="B860" s="15"/>
      <c r="C860" s="15"/>
      <c r="D860" s="15"/>
      <c r="E860" s="15"/>
      <c r="F860" s="15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>
      <c r="A861" s="2"/>
      <c r="B861" s="15"/>
      <c r="C861" s="15"/>
      <c r="D861" s="15"/>
      <c r="E861" s="15"/>
      <c r="F861" s="15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>
      <c r="A862" s="2"/>
      <c r="B862" s="15"/>
      <c r="C862" s="15"/>
      <c r="D862" s="15"/>
      <c r="E862" s="15"/>
      <c r="F862" s="15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>
      <c r="A863" s="2"/>
      <c r="B863" s="15"/>
      <c r="C863" s="15"/>
      <c r="D863" s="15"/>
      <c r="E863" s="15"/>
      <c r="F863" s="15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>
      <c r="A864" s="2"/>
      <c r="B864" s="15"/>
      <c r="C864" s="15"/>
      <c r="D864" s="15"/>
      <c r="E864" s="15"/>
      <c r="F864" s="15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>
      <c r="A865" s="2"/>
      <c r="B865" s="15"/>
      <c r="C865" s="15"/>
      <c r="D865" s="15"/>
      <c r="E865" s="15"/>
      <c r="F865" s="15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>
      <c r="A866" s="2"/>
      <c r="B866" s="15"/>
      <c r="C866" s="15"/>
      <c r="D866" s="15"/>
      <c r="E866" s="15"/>
      <c r="F866" s="15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>
      <c r="A867" s="2"/>
      <c r="B867" s="15"/>
      <c r="C867" s="15"/>
      <c r="D867" s="15"/>
      <c r="E867" s="15"/>
      <c r="F867" s="15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>
      <c r="A868" s="2"/>
      <c r="B868" s="15"/>
      <c r="C868" s="15"/>
      <c r="D868" s="15"/>
      <c r="E868" s="15"/>
      <c r="F868" s="15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>
      <c r="A869" s="2"/>
      <c r="B869" s="15"/>
      <c r="C869" s="15"/>
      <c r="D869" s="15"/>
      <c r="E869" s="15"/>
      <c r="F869" s="15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>
      <c r="A870" s="2"/>
      <c r="B870" s="15"/>
      <c r="C870" s="15"/>
      <c r="D870" s="15"/>
      <c r="E870" s="15"/>
      <c r="F870" s="15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>
      <c r="A871" s="2"/>
      <c r="B871" s="15"/>
      <c r="C871" s="15"/>
      <c r="D871" s="15"/>
      <c r="E871" s="15"/>
      <c r="F871" s="15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>
      <c r="A872" s="2"/>
      <c r="B872" s="15"/>
      <c r="C872" s="15"/>
      <c r="D872" s="15"/>
      <c r="E872" s="15"/>
      <c r="F872" s="15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>
      <c r="A873" s="2"/>
      <c r="B873" s="15"/>
      <c r="C873" s="15"/>
      <c r="D873" s="15"/>
      <c r="E873" s="15"/>
      <c r="F873" s="15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>
      <c r="A874" s="2"/>
      <c r="B874" s="15"/>
      <c r="C874" s="15"/>
      <c r="D874" s="15"/>
      <c r="E874" s="15"/>
      <c r="F874" s="15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>
      <c r="A875" s="2"/>
      <c r="B875" s="15"/>
      <c r="C875" s="15"/>
      <c r="D875" s="15"/>
      <c r="E875" s="15"/>
      <c r="F875" s="15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>
      <c r="A876" s="2"/>
      <c r="B876" s="15"/>
      <c r="C876" s="15"/>
      <c r="D876" s="15"/>
      <c r="E876" s="15"/>
      <c r="F876" s="15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>
      <c r="A877" s="2"/>
      <c r="B877" s="15"/>
      <c r="C877" s="15"/>
      <c r="D877" s="15"/>
      <c r="E877" s="15"/>
      <c r="F877" s="15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>
      <c r="A878" s="2"/>
      <c r="B878" s="15"/>
      <c r="C878" s="15"/>
      <c r="D878" s="15"/>
      <c r="E878" s="15"/>
      <c r="F878" s="15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>
      <c r="A879" s="2"/>
      <c r="B879" s="15"/>
      <c r="C879" s="15"/>
      <c r="D879" s="15"/>
      <c r="E879" s="15"/>
      <c r="F879" s="15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>
      <c r="A880" s="2"/>
      <c r="B880" s="15"/>
      <c r="C880" s="15"/>
      <c r="D880" s="15"/>
      <c r="E880" s="15"/>
      <c r="F880" s="15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>
      <c r="A881" s="2"/>
      <c r="B881" s="15"/>
      <c r="C881" s="15"/>
      <c r="D881" s="15"/>
      <c r="E881" s="15"/>
      <c r="F881" s="15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>
      <c r="A882" s="2"/>
      <c r="B882" s="15"/>
      <c r="C882" s="15"/>
      <c r="D882" s="15"/>
      <c r="E882" s="15"/>
      <c r="F882" s="15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>
      <c r="A883" s="2"/>
      <c r="B883" s="15"/>
      <c r="C883" s="15"/>
      <c r="D883" s="15"/>
      <c r="E883" s="15"/>
      <c r="F883" s="15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>
      <c r="A884" s="2"/>
      <c r="B884" s="15"/>
      <c r="C884" s="15"/>
      <c r="D884" s="15"/>
      <c r="E884" s="15"/>
      <c r="F884" s="15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>
      <c r="A885" s="2"/>
      <c r="B885" s="15"/>
      <c r="C885" s="15"/>
      <c r="D885" s="15"/>
      <c r="E885" s="15"/>
      <c r="F885" s="15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>
      <c r="A886" s="2"/>
      <c r="B886" s="15"/>
      <c r="C886" s="15"/>
      <c r="D886" s="15"/>
      <c r="E886" s="15"/>
      <c r="F886" s="15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>
      <c r="A887" s="2"/>
      <c r="B887" s="15"/>
      <c r="C887" s="15"/>
      <c r="D887" s="15"/>
      <c r="E887" s="15"/>
      <c r="F887" s="15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>
      <c r="A888" s="2"/>
      <c r="B888" s="15"/>
      <c r="C888" s="15"/>
      <c r="D888" s="15"/>
      <c r="E888" s="15"/>
      <c r="F888" s="15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>
      <c r="A889" s="2"/>
      <c r="B889" s="15"/>
      <c r="C889" s="15"/>
      <c r="D889" s="15"/>
      <c r="E889" s="15"/>
      <c r="F889" s="15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>
      <c r="A890" s="2"/>
      <c r="B890" s="15"/>
      <c r="C890" s="15"/>
      <c r="D890" s="15"/>
      <c r="E890" s="15"/>
      <c r="F890" s="15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>
      <c r="A891" s="2"/>
      <c r="B891" s="15"/>
      <c r="C891" s="15"/>
      <c r="D891" s="15"/>
      <c r="E891" s="15"/>
      <c r="F891" s="15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>
      <c r="A892" s="2"/>
      <c r="B892" s="15"/>
      <c r="C892" s="15"/>
      <c r="D892" s="15"/>
      <c r="E892" s="15"/>
      <c r="F892" s="15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>
      <c r="A893" s="2"/>
      <c r="B893" s="15"/>
      <c r="C893" s="15"/>
      <c r="D893" s="15"/>
      <c r="E893" s="15"/>
      <c r="F893" s="15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>
      <c r="A894" s="2"/>
      <c r="B894" s="15"/>
      <c r="C894" s="15"/>
      <c r="D894" s="15"/>
      <c r="E894" s="15"/>
      <c r="F894" s="15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>
      <c r="A895" s="2"/>
      <c r="B895" s="15"/>
      <c r="C895" s="15"/>
      <c r="D895" s="15"/>
      <c r="E895" s="15"/>
      <c r="F895" s="15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>
      <c r="A896" s="2"/>
      <c r="B896" s="15"/>
      <c r="C896" s="15"/>
      <c r="D896" s="15"/>
      <c r="E896" s="15"/>
      <c r="F896" s="15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>
      <c r="A897" s="2"/>
      <c r="B897" s="15"/>
      <c r="C897" s="15"/>
      <c r="D897" s="15"/>
      <c r="E897" s="15"/>
      <c r="F897" s="15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>
      <c r="A898" s="2"/>
      <c r="B898" s="15"/>
      <c r="C898" s="15"/>
      <c r="D898" s="15"/>
      <c r="E898" s="15"/>
      <c r="F898" s="15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>
      <c r="A899" s="2"/>
      <c r="B899" s="15"/>
      <c r="C899" s="15"/>
      <c r="D899" s="15"/>
      <c r="E899" s="15"/>
      <c r="F899" s="15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>
      <c r="A900" s="2"/>
      <c r="B900" s="15"/>
      <c r="C900" s="15"/>
      <c r="D900" s="15"/>
      <c r="E900" s="15"/>
      <c r="F900" s="15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>
      <c r="A901" s="2"/>
      <c r="B901" s="15"/>
      <c r="C901" s="15"/>
      <c r="D901" s="15"/>
      <c r="E901" s="15"/>
      <c r="F901" s="15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>
      <c r="A902" s="2"/>
      <c r="B902" s="15"/>
      <c r="C902" s="15"/>
      <c r="D902" s="15"/>
      <c r="E902" s="15"/>
      <c r="F902" s="15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>
      <c r="A903" s="2"/>
      <c r="B903" s="15"/>
      <c r="C903" s="15"/>
      <c r="D903" s="15"/>
      <c r="E903" s="15"/>
      <c r="F903" s="15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>
      <c r="A904" s="2"/>
      <c r="B904" s="15"/>
      <c r="C904" s="15"/>
      <c r="D904" s="15"/>
      <c r="E904" s="15"/>
      <c r="F904" s="15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>
      <c r="A905" s="2"/>
      <c r="B905" s="15"/>
      <c r="C905" s="15"/>
      <c r="D905" s="15"/>
      <c r="E905" s="15"/>
      <c r="F905" s="15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>
      <c r="A906" s="2"/>
      <c r="B906" s="15"/>
      <c r="C906" s="15"/>
      <c r="D906" s="15"/>
      <c r="E906" s="15"/>
      <c r="F906" s="15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>
      <c r="A907" s="2"/>
      <c r="B907" s="15"/>
      <c r="C907" s="15"/>
      <c r="D907" s="15"/>
      <c r="E907" s="15"/>
      <c r="F907" s="15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>
      <c r="A908" s="2"/>
      <c r="B908" s="15"/>
      <c r="C908" s="15"/>
      <c r="D908" s="15"/>
      <c r="E908" s="15"/>
      <c r="F908" s="15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>
      <c r="A909" s="2"/>
      <c r="B909" s="15"/>
      <c r="C909" s="15"/>
      <c r="D909" s="15"/>
      <c r="E909" s="15"/>
      <c r="F909" s="15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>
      <c r="A910" s="2"/>
      <c r="B910" s="15"/>
      <c r="C910" s="15"/>
      <c r="D910" s="15"/>
      <c r="E910" s="15"/>
      <c r="F910" s="15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>
      <c r="A911" s="2"/>
      <c r="B911" s="15"/>
      <c r="C911" s="15"/>
      <c r="D911" s="15"/>
      <c r="E911" s="15"/>
      <c r="F911" s="15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>
      <c r="A912" s="2"/>
      <c r="B912" s="15"/>
      <c r="C912" s="15"/>
      <c r="D912" s="15"/>
      <c r="E912" s="15"/>
      <c r="F912" s="15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>
      <c r="A913" s="2"/>
      <c r="B913" s="15"/>
      <c r="C913" s="15"/>
      <c r="D913" s="15"/>
      <c r="E913" s="15"/>
      <c r="F913" s="15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>
      <c r="A914" s="2"/>
      <c r="B914" s="15"/>
      <c r="C914" s="15"/>
      <c r="D914" s="15"/>
      <c r="E914" s="15"/>
      <c r="F914" s="15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>
      <c r="A915" s="2"/>
      <c r="B915" s="15"/>
      <c r="C915" s="15"/>
      <c r="D915" s="15"/>
      <c r="E915" s="15"/>
      <c r="F915" s="15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>
      <c r="A916" s="2"/>
      <c r="B916" s="15"/>
      <c r="C916" s="15"/>
      <c r="D916" s="15"/>
      <c r="E916" s="15"/>
      <c r="F916" s="15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>
      <c r="A917" s="2"/>
      <c r="B917" s="15"/>
      <c r="C917" s="15"/>
      <c r="D917" s="15"/>
      <c r="E917" s="15"/>
      <c r="F917" s="15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>
      <c r="A918" s="2"/>
      <c r="B918" s="15"/>
      <c r="C918" s="15"/>
      <c r="D918" s="15"/>
      <c r="E918" s="15"/>
      <c r="F918" s="15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>
      <c r="A919" s="2"/>
      <c r="B919" s="15"/>
      <c r="C919" s="15"/>
      <c r="D919" s="15"/>
      <c r="E919" s="15"/>
      <c r="F919" s="15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>
      <c r="A920" s="2"/>
      <c r="B920" s="15"/>
      <c r="C920" s="15"/>
      <c r="D920" s="15"/>
      <c r="E920" s="15"/>
      <c r="F920" s="15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>
      <c r="A921" s="2"/>
      <c r="B921" s="15"/>
      <c r="C921" s="15"/>
      <c r="D921" s="15"/>
      <c r="E921" s="15"/>
      <c r="F921" s="15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>
      <c r="A922" s="2"/>
      <c r="B922" s="15"/>
      <c r="C922" s="15"/>
      <c r="D922" s="15"/>
      <c r="E922" s="15"/>
      <c r="F922" s="15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>
      <c r="A923" s="2"/>
      <c r="B923" s="15"/>
      <c r="C923" s="15"/>
      <c r="D923" s="15"/>
      <c r="E923" s="15"/>
      <c r="F923" s="15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>
      <c r="A924" s="2"/>
      <c r="B924" s="15"/>
      <c r="C924" s="15"/>
      <c r="D924" s="15"/>
      <c r="E924" s="15"/>
      <c r="F924" s="15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>
      <c r="A925" s="2"/>
      <c r="B925" s="15"/>
      <c r="C925" s="15"/>
      <c r="D925" s="15"/>
      <c r="E925" s="15"/>
      <c r="F925" s="15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>
      <c r="A926" s="2"/>
      <c r="B926" s="15"/>
      <c r="C926" s="15"/>
      <c r="D926" s="15"/>
      <c r="E926" s="15"/>
      <c r="F926" s="15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>
      <c r="A927" s="2"/>
      <c r="B927" s="15"/>
      <c r="C927" s="15"/>
      <c r="D927" s="15"/>
      <c r="E927" s="15"/>
      <c r="F927" s="15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>
      <c r="A928" s="2"/>
      <c r="B928" s="15"/>
      <c r="C928" s="15"/>
      <c r="D928" s="15"/>
      <c r="E928" s="15"/>
      <c r="F928" s="15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>
      <c r="A929" s="2"/>
      <c r="B929" s="15"/>
      <c r="C929" s="15"/>
      <c r="D929" s="15"/>
      <c r="E929" s="15"/>
      <c r="F929" s="15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>
      <c r="A930" s="2"/>
      <c r="B930" s="15"/>
      <c r="C930" s="15"/>
      <c r="D930" s="15"/>
      <c r="E930" s="15"/>
      <c r="F930" s="15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>
      <c r="A931" s="2"/>
      <c r="B931" s="15"/>
      <c r="C931" s="15"/>
      <c r="D931" s="15"/>
      <c r="E931" s="15"/>
      <c r="F931" s="15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>
      <c r="A932" s="2"/>
      <c r="B932" s="15"/>
      <c r="C932" s="15"/>
      <c r="D932" s="15"/>
      <c r="E932" s="15"/>
      <c r="F932" s="15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>
      <c r="A933" s="2"/>
      <c r="B933" s="15"/>
      <c r="C933" s="15"/>
      <c r="D933" s="15"/>
      <c r="E933" s="15"/>
      <c r="F933" s="15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>
      <c r="A934" s="2"/>
      <c r="B934" s="15"/>
      <c r="C934" s="15"/>
      <c r="D934" s="15"/>
      <c r="E934" s="15"/>
      <c r="F934" s="15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>
      <c r="A935" s="2"/>
      <c r="B935" s="15"/>
      <c r="C935" s="15"/>
      <c r="D935" s="15"/>
      <c r="E935" s="15"/>
      <c r="F935" s="15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>
      <c r="A936" s="2"/>
      <c r="B936" s="15"/>
      <c r="C936" s="15"/>
      <c r="D936" s="15"/>
      <c r="E936" s="15"/>
      <c r="F936" s="15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>
      <c r="A937" s="2"/>
      <c r="B937" s="15"/>
      <c r="C937" s="15"/>
      <c r="D937" s="15"/>
      <c r="E937" s="15"/>
      <c r="F937" s="15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>
      <c r="A938" s="2"/>
      <c r="B938" s="15"/>
      <c r="C938" s="15"/>
      <c r="D938" s="15"/>
      <c r="E938" s="15"/>
      <c r="F938" s="15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>
      <c r="A939" s="2"/>
      <c r="B939" s="15"/>
      <c r="C939" s="15"/>
      <c r="D939" s="15"/>
      <c r="E939" s="15"/>
      <c r="F939" s="15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>
      <c r="A940" s="2"/>
      <c r="B940" s="15"/>
      <c r="C940" s="15"/>
      <c r="D940" s="15"/>
      <c r="E940" s="15"/>
      <c r="F940" s="15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>
      <c r="A941" s="2"/>
      <c r="B941" s="15"/>
      <c r="C941" s="15"/>
      <c r="D941" s="15"/>
      <c r="E941" s="15"/>
      <c r="F941" s="15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>
      <c r="A942" s="2"/>
      <c r="B942" s="15"/>
      <c r="C942" s="15"/>
      <c r="D942" s="15"/>
      <c r="E942" s="15"/>
      <c r="F942" s="15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>
      <c r="A943" s="2"/>
      <c r="B943" s="15"/>
      <c r="C943" s="15"/>
      <c r="D943" s="15"/>
      <c r="E943" s="15"/>
      <c r="F943" s="15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>
      <c r="A944" s="2"/>
      <c r="B944" s="15"/>
      <c r="C944" s="15"/>
      <c r="D944" s="15"/>
      <c r="E944" s="15"/>
      <c r="F944" s="15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>
      <c r="A945" s="2"/>
      <c r="B945" s="15"/>
      <c r="C945" s="15"/>
      <c r="D945" s="15"/>
      <c r="E945" s="15"/>
      <c r="F945" s="15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>
      <c r="A946" s="2"/>
      <c r="B946" s="15"/>
      <c r="C946" s="15"/>
      <c r="D946" s="15"/>
      <c r="E946" s="15"/>
      <c r="F946" s="15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>
      <c r="A947" s="2"/>
      <c r="B947" s="15"/>
      <c r="C947" s="15"/>
      <c r="D947" s="15"/>
      <c r="E947" s="15"/>
      <c r="F947" s="15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>
      <c r="A948" s="2"/>
      <c r="B948" s="15"/>
      <c r="C948" s="15"/>
      <c r="D948" s="15"/>
      <c r="E948" s="15"/>
      <c r="F948" s="15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>
      <c r="A949" s="2"/>
      <c r="B949" s="15"/>
      <c r="C949" s="15"/>
      <c r="D949" s="15"/>
      <c r="E949" s="15"/>
      <c r="F949" s="15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>
      <c r="A950" s="2"/>
      <c r="B950" s="15"/>
      <c r="C950" s="15"/>
      <c r="D950" s="15"/>
      <c r="E950" s="15"/>
      <c r="F950" s="15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>
      <c r="A951" s="2"/>
      <c r="B951" s="15"/>
      <c r="C951" s="15"/>
      <c r="D951" s="15"/>
      <c r="E951" s="15"/>
      <c r="F951" s="15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>
      <c r="A952" s="2"/>
      <c r="B952" s="15"/>
      <c r="C952" s="15"/>
      <c r="D952" s="15"/>
      <c r="E952" s="15"/>
      <c r="F952" s="15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>
      <c r="A953" s="2"/>
      <c r="B953" s="15"/>
      <c r="C953" s="15"/>
      <c r="D953" s="15"/>
      <c r="E953" s="15"/>
      <c r="F953" s="15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>
      <c r="A954" s="2"/>
      <c r="B954" s="15"/>
      <c r="C954" s="15"/>
      <c r="D954" s="15"/>
      <c r="E954" s="15"/>
      <c r="F954" s="15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>
      <c r="A955" s="2"/>
      <c r="B955" s="15"/>
      <c r="C955" s="15"/>
      <c r="D955" s="15"/>
      <c r="E955" s="15"/>
      <c r="F955" s="15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>
      <c r="A956" s="2"/>
      <c r="B956" s="15"/>
      <c r="C956" s="15"/>
      <c r="D956" s="15"/>
      <c r="E956" s="15"/>
      <c r="F956" s="15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>
      <c r="A957" s="2"/>
      <c r="B957" s="15"/>
      <c r="C957" s="15"/>
      <c r="D957" s="15"/>
      <c r="E957" s="15"/>
      <c r="F957" s="15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>
      <c r="A958" s="2"/>
      <c r="B958" s="15"/>
      <c r="C958" s="15"/>
      <c r="D958" s="15"/>
      <c r="E958" s="15"/>
      <c r="F958" s="15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>
      <c r="A959" s="2"/>
      <c r="B959" s="15"/>
      <c r="C959" s="15"/>
      <c r="D959" s="15"/>
      <c r="E959" s="15"/>
      <c r="F959" s="15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>
      <c r="A960" s="2"/>
      <c r="B960" s="15"/>
      <c r="C960" s="15"/>
      <c r="D960" s="15"/>
      <c r="E960" s="15"/>
      <c r="F960" s="15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>
      <c r="A961" s="2"/>
      <c r="B961" s="15"/>
      <c r="C961" s="15"/>
      <c r="D961" s="15"/>
      <c r="E961" s="15"/>
      <c r="F961" s="15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>
      <c r="A962" s="2"/>
      <c r="B962" s="15"/>
      <c r="C962" s="15"/>
      <c r="D962" s="15"/>
      <c r="E962" s="15"/>
      <c r="F962" s="15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>
      <c r="A963" s="2"/>
      <c r="B963" s="15"/>
      <c r="C963" s="15"/>
      <c r="D963" s="15"/>
      <c r="E963" s="15"/>
      <c r="F963" s="15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>
      <c r="A964" s="2"/>
      <c r="B964" s="15"/>
      <c r="C964" s="15"/>
      <c r="D964" s="15"/>
      <c r="E964" s="15"/>
      <c r="F964" s="15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>
      <c r="A965" s="2"/>
      <c r="B965" s="15"/>
      <c r="C965" s="15"/>
      <c r="D965" s="15"/>
      <c r="E965" s="15"/>
      <c r="F965" s="15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5.75" customHeight="1">
      <c r="A966" s="2"/>
      <c r="B966" s="15"/>
      <c r="C966" s="15"/>
      <c r="D966" s="15"/>
      <c r="E966" s="15"/>
      <c r="F966" s="15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5.75" customHeight="1">
      <c r="A967" s="2"/>
      <c r="B967" s="15"/>
      <c r="C967" s="15"/>
      <c r="D967" s="15"/>
      <c r="E967" s="15"/>
      <c r="F967" s="15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5.75" customHeight="1">
      <c r="A968" s="2"/>
      <c r="B968" s="15"/>
      <c r="C968" s="15"/>
      <c r="D968" s="15"/>
      <c r="E968" s="15"/>
      <c r="F968" s="15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5.75" customHeight="1">
      <c r="A969" s="2"/>
      <c r="B969" s="15"/>
      <c r="C969" s="15"/>
      <c r="D969" s="15"/>
      <c r="E969" s="15"/>
      <c r="F969" s="15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5.75" customHeight="1">
      <c r="A970" s="2"/>
      <c r="B970" s="15"/>
      <c r="C970" s="15"/>
      <c r="D970" s="15"/>
      <c r="E970" s="15"/>
      <c r="F970" s="15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5.75" customHeight="1">
      <c r="A971" s="2"/>
      <c r="B971" s="15"/>
      <c r="C971" s="15"/>
      <c r="D971" s="15"/>
      <c r="E971" s="15"/>
      <c r="F971" s="15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5.75" customHeight="1">
      <c r="A972" s="2"/>
      <c r="B972" s="15"/>
      <c r="C972" s="15"/>
      <c r="D972" s="15"/>
      <c r="E972" s="15"/>
      <c r="F972" s="15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5.75" customHeight="1">
      <c r="A973" s="2"/>
      <c r="B973" s="15"/>
      <c r="C973" s="15"/>
      <c r="D973" s="15"/>
      <c r="E973" s="15"/>
      <c r="F973" s="15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5.75" customHeight="1">
      <c r="A974" s="2"/>
      <c r="B974" s="15"/>
      <c r="C974" s="15"/>
      <c r="D974" s="15"/>
      <c r="E974" s="15"/>
      <c r="F974" s="15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5.75" customHeight="1">
      <c r="A975" s="2"/>
      <c r="B975" s="15"/>
      <c r="C975" s="15"/>
      <c r="D975" s="15"/>
      <c r="E975" s="15"/>
      <c r="F975" s="15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5.75" customHeight="1">
      <c r="A976" s="2"/>
      <c r="B976" s="15"/>
      <c r="C976" s="15"/>
      <c r="D976" s="15"/>
      <c r="E976" s="15"/>
      <c r="F976" s="15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5.75" customHeight="1">
      <c r="A977" s="2"/>
      <c r="B977" s="15"/>
      <c r="C977" s="15"/>
      <c r="D977" s="15"/>
      <c r="E977" s="15"/>
      <c r="F977" s="15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5.75" customHeight="1">
      <c r="A978" s="2"/>
      <c r="B978" s="15"/>
      <c r="C978" s="15"/>
      <c r="D978" s="15"/>
      <c r="E978" s="15"/>
      <c r="F978" s="15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5.75" customHeight="1">
      <c r="A979" s="2"/>
      <c r="B979" s="15"/>
      <c r="C979" s="15"/>
      <c r="D979" s="15"/>
      <c r="E979" s="15"/>
      <c r="F979" s="15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5.75" customHeight="1">
      <c r="A980" s="2"/>
      <c r="B980" s="15"/>
      <c r="C980" s="15"/>
      <c r="D980" s="15"/>
      <c r="E980" s="15"/>
      <c r="F980" s="15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5.75" customHeight="1">
      <c r="A981" s="2"/>
      <c r="B981" s="15"/>
      <c r="C981" s="15"/>
      <c r="D981" s="15"/>
      <c r="E981" s="15"/>
      <c r="F981" s="15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5.75" customHeight="1">
      <c r="A982" s="2"/>
      <c r="B982" s="15"/>
      <c r="C982" s="15"/>
      <c r="D982" s="15"/>
      <c r="E982" s="15"/>
      <c r="F982" s="15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5.75" customHeight="1">
      <c r="A983" s="2"/>
      <c r="B983" s="15"/>
      <c r="C983" s="15"/>
      <c r="D983" s="15"/>
      <c r="E983" s="15"/>
      <c r="F983" s="15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5.75" customHeight="1">
      <c r="A984" s="2"/>
      <c r="B984" s="15"/>
      <c r="C984" s="15"/>
      <c r="D984" s="15"/>
      <c r="E984" s="15"/>
      <c r="F984" s="15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5.75" customHeight="1">
      <c r="A985" s="2"/>
      <c r="B985" s="15"/>
      <c r="C985" s="15"/>
      <c r="D985" s="15"/>
      <c r="E985" s="15"/>
      <c r="F985" s="15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5.75" customHeight="1">
      <c r="A986" s="2"/>
      <c r="B986" s="15"/>
      <c r="C986" s="15"/>
      <c r="D986" s="15"/>
      <c r="E986" s="15"/>
      <c r="F986" s="15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5.75" customHeight="1">
      <c r="A987" s="2"/>
      <c r="B987" s="15"/>
      <c r="C987" s="15"/>
      <c r="D987" s="15"/>
      <c r="E987" s="15"/>
      <c r="F987" s="15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5.75" customHeight="1">
      <c r="A988" s="2"/>
      <c r="B988" s="15"/>
      <c r="C988" s="15"/>
      <c r="D988" s="15"/>
      <c r="E988" s="15"/>
      <c r="F988" s="15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5.75" customHeight="1">
      <c r="A989" s="2"/>
      <c r="B989" s="15"/>
      <c r="C989" s="15"/>
      <c r="D989" s="15"/>
      <c r="E989" s="15"/>
      <c r="F989" s="15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5.75" customHeight="1">
      <c r="A990" s="2"/>
      <c r="B990" s="15"/>
      <c r="C990" s="15"/>
      <c r="D990" s="15"/>
      <c r="E990" s="15"/>
      <c r="F990" s="15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5.75" customHeight="1">
      <c r="A991" s="2"/>
      <c r="B991" s="15"/>
      <c r="C991" s="15"/>
      <c r="D991" s="15"/>
      <c r="E991" s="15"/>
      <c r="F991" s="15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5.75" customHeight="1">
      <c r="A992" s="2"/>
      <c r="B992" s="15"/>
      <c r="C992" s="15"/>
      <c r="D992" s="15"/>
      <c r="E992" s="15"/>
      <c r="F992" s="15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5.75" customHeight="1">
      <c r="A993" s="2"/>
      <c r="B993" s="15"/>
      <c r="C993" s="15"/>
      <c r="D993" s="15"/>
      <c r="E993" s="15"/>
      <c r="F993" s="15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5.75" customHeight="1">
      <c r="A994" s="2"/>
      <c r="B994" s="15"/>
      <c r="C994" s="15"/>
      <c r="D994" s="15"/>
      <c r="E994" s="15"/>
      <c r="F994" s="15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5.75" customHeight="1">
      <c r="A995" s="2"/>
      <c r="B995" s="15"/>
      <c r="C995" s="15"/>
      <c r="D995" s="15"/>
      <c r="E995" s="15"/>
      <c r="F995" s="15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5.75" customHeight="1">
      <c r="A996" s="2"/>
      <c r="B996" s="15"/>
      <c r="C996" s="15"/>
      <c r="D996" s="15"/>
      <c r="E996" s="15"/>
      <c r="F996" s="15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5.75" customHeight="1">
      <c r="A997" s="2"/>
      <c r="B997" s="15"/>
      <c r="C997" s="15"/>
      <c r="D997" s="15"/>
      <c r="E997" s="15"/>
      <c r="F997" s="15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5.75" customHeight="1">
      <c r="A998" s="2"/>
      <c r="B998" s="15"/>
      <c r="C998" s="15"/>
      <c r="D998" s="15"/>
      <c r="E998" s="15"/>
      <c r="F998" s="15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5.75" customHeight="1">
      <c r="A999" s="2"/>
      <c r="B999" s="15"/>
      <c r="C999" s="15"/>
      <c r="D999" s="15"/>
      <c r="E999" s="15"/>
      <c r="F999" s="15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5.75" customHeight="1">
      <c r="A1000" s="2"/>
      <c r="B1000" s="15"/>
      <c r="C1000" s="15"/>
      <c r="D1000" s="15"/>
      <c r="E1000" s="15"/>
      <c r="F1000" s="15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3">
    <mergeCell ref="A3:A5"/>
    <mergeCell ref="B3:B4"/>
    <mergeCell ref="C3:F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11" width="18.0"/>
    <col customWidth="1" min="12" max="13" width="9.14"/>
    <col customWidth="1" min="14" max="14" width="11.0"/>
    <col customWidth="1" min="15" max="31" width="9.14"/>
  </cols>
  <sheetData>
    <row r="1">
      <c r="A1" s="2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18.75" customHeight="1">
      <c r="A3" s="25" t="s">
        <v>330</v>
      </c>
      <c r="B3" s="28" t="s">
        <v>438</v>
      </c>
      <c r="C3" s="8"/>
      <c r="D3" s="8"/>
      <c r="E3" s="8"/>
      <c r="F3" s="9"/>
      <c r="G3" s="27" t="s">
        <v>439</v>
      </c>
      <c r="H3" s="8"/>
      <c r="I3" s="8"/>
      <c r="J3" s="8"/>
      <c r="K3" s="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ht="30.0" customHeight="1">
      <c r="A4" s="10"/>
      <c r="B4" s="26" t="s">
        <v>440</v>
      </c>
      <c r="C4" s="28" t="s">
        <v>441</v>
      </c>
      <c r="D4" s="8"/>
      <c r="E4" s="8"/>
      <c r="F4" s="9"/>
      <c r="G4" s="93" t="s">
        <v>442</v>
      </c>
      <c r="H4" s="27" t="s">
        <v>441</v>
      </c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60.75" customHeight="1">
      <c r="A5" s="10"/>
      <c r="B5" s="12"/>
      <c r="C5" s="94" t="s">
        <v>443</v>
      </c>
      <c r="D5" s="94" t="s">
        <v>444</v>
      </c>
      <c r="E5" s="94" t="s">
        <v>445</v>
      </c>
      <c r="F5" s="94" t="s">
        <v>446</v>
      </c>
      <c r="G5" s="12"/>
      <c r="H5" s="95" t="s">
        <v>443</v>
      </c>
      <c r="I5" s="95" t="s">
        <v>444</v>
      </c>
      <c r="J5" s="95" t="s">
        <v>445</v>
      </c>
      <c r="K5" s="95" t="s">
        <v>446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12.75" customHeight="1">
      <c r="A6" s="12"/>
      <c r="B6" s="31" t="s">
        <v>14</v>
      </c>
      <c r="C6" s="31" t="s">
        <v>15</v>
      </c>
      <c r="D6" s="31" t="s">
        <v>16</v>
      </c>
      <c r="E6" s="31" t="s">
        <v>17</v>
      </c>
      <c r="F6" s="31" t="s">
        <v>18</v>
      </c>
      <c r="G6" s="32" t="s">
        <v>19</v>
      </c>
      <c r="H6" s="32" t="s">
        <v>64</v>
      </c>
      <c r="I6" s="32" t="s">
        <v>65</v>
      </c>
      <c r="J6" s="32" t="s">
        <v>66</v>
      </c>
      <c r="K6" s="32" t="s">
        <v>67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17"/>
      <c r="B7" s="96"/>
      <c r="C7" s="20"/>
      <c r="D7" s="20"/>
      <c r="E7" s="20"/>
      <c r="F7" s="97"/>
      <c r="G7" s="60"/>
      <c r="H7" s="20"/>
      <c r="I7" s="20"/>
      <c r="J7" s="20"/>
      <c r="K7" s="9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70" t="s">
        <v>20</v>
      </c>
      <c r="B8" s="71">
        <v>478576.0</v>
      </c>
      <c r="C8" s="71">
        <v>161497.0</v>
      </c>
      <c r="D8" s="71">
        <v>88216.0</v>
      </c>
      <c r="E8" s="71">
        <v>111944.0</v>
      </c>
      <c r="F8" s="72">
        <v>116919.0</v>
      </c>
      <c r="G8" s="98">
        <v>2197390.0</v>
      </c>
      <c r="H8" s="71">
        <v>1138030.0</v>
      </c>
      <c r="I8" s="71">
        <v>368508.0</v>
      </c>
      <c r="J8" s="71">
        <v>360513.0</v>
      </c>
      <c r="K8" s="72">
        <v>330339.0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21"/>
      <c r="B9" s="23"/>
      <c r="C9" s="2"/>
      <c r="D9" s="2"/>
      <c r="E9" s="99"/>
      <c r="F9" s="100"/>
      <c r="G9" s="47"/>
      <c r="H9" s="2"/>
      <c r="I9" s="2"/>
      <c r="J9" s="2"/>
      <c r="K9" s="10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75" t="s">
        <v>21</v>
      </c>
      <c r="B10" s="76">
        <v>90215.0</v>
      </c>
      <c r="C10" s="76">
        <v>37212.0</v>
      </c>
      <c r="D10" s="76">
        <v>15201.0</v>
      </c>
      <c r="E10" s="76">
        <v>18380.0</v>
      </c>
      <c r="F10" s="77">
        <v>19422.0</v>
      </c>
      <c r="G10" s="101">
        <v>615067.0</v>
      </c>
      <c r="H10" s="76">
        <v>414915.0</v>
      </c>
      <c r="I10" s="76">
        <v>71582.0</v>
      </c>
      <c r="J10" s="76">
        <v>65183.0</v>
      </c>
      <c r="K10" s="77">
        <v>63387.0</v>
      </c>
      <c r="L10" s="18"/>
      <c r="M10" s="18"/>
      <c r="N10" s="18"/>
      <c r="O10" s="18"/>
      <c r="P10" s="18"/>
      <c r="Q10" s="18"/>
      <c r="R10" s="18"/>
      <c r="S10" s="20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20"/>
      <c r="AE10" s="18"/>
    </row>
    <row r="11">
      <c r="A11" s="45"/>
      <c r="B11" s="102"/>
      <c r="C11" s="102"/>
      <c r="D11" s="102"/>
      <c r="E11" s="102"/>
      <c r="F11" s="103"/>
      <c r="G11" s="47"/>
      <c r="H11" s="22"/>
      <c r="I11" s="22"/>
      <c r="J11" s="22"/>
      <c r="K11" s="4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45" t="s">
        <v>337</v>
      </c>
      <c r="B12" s="22">
        <v>12271.0</v>
      </c>
      <c r="C12" s="22">
        <v>4468.0</v>
      </c>
      <c r="D12" s="22">
        <v>2121.0</v>
      </c>
      <c r="E12" s="22">
        <v>2813.0</v>
      </c>
      <c r="F12" s="46">
        <v>2869.0</v>
      </c>
      <c r="G12" s="47">
        <v>61331.0</v>
      </c>
      <c r="H12" s="22">
        <v>35502.0</v>
      </c>
      <c r="I12" s="22">
        <v>8460.0</v>
      </c>
      <c r="J12" s="22">
        <v>9040.0</v>
      </c>
      <c r="K12" s="46">
        <v>8329.0</v>
      </c>
      <c r="L12" s="2"/>
      <c r="M12" s="10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45" t="s">
        <v>338</v>
      </c>
      <c r="B13" s="22">
        <v>2112.0</v>
      </c>
      <c r="C13" s="22">
        <v>1006.0</v>
      </c>
      <c r="D13" s="22">
        <v>370.0</v>
      </c>
      <c r="E13" s="22">
        <v>347.0</v>
      </c>
      <c r="F13" s="46">
        <v>389.0</v>
      </c>
      <c r="G13" s="47">
        <v>23792.0</v>
      </c>
      <c r="H13" s="22">
        <v>18125.0</v>
      </c>
      <c r="I13" s="22">
        <v>2608.0</v>
      </c>
      <c r="J13" s="22">
        <v>1577.0</v>
      </c>
      <c r="K13" s="46">
        <v>1482.0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45" t="s">
        <v>339</v>
      </c>
      <c r="B14" s="22">
        <v>1062.0</v>
      </c>
      <c r="C14" s="22">
        <v>489.0</v>
      </c>
      <c r="D14" s="22">
        <v>190.0</v>
      </c>
      <c r="E14" s="22">
        <v>208.0</v>
      </c>
      <c r="F14" s="46">
        <v>175.0</v>
      </c>
      <c r="G14" s="47">
        <v>7208.0</v>
      </c>
      <c r="H14" s="22">
        <v>4903.0</v>
      </c>
      <c r="I14" s="22">
        <v>878.0</v>
      </c>
      <c r="J14" s="22">
        <v>822.0</v>
      </c>
      <c r="K14" s="46">
        <v>605.0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45" t="s">
        <v>340</v>
      </c>
      <c r="B15" s="22">
        <v>3782.0</v>
      </c>
      <c r="C15" s="22">
        <v>1547.0</v>
      </c>
      <c r="D15" s="22">
        <v>631.0</v>
      </c>
      <c r="E15" s="22">
        <v>748.0</v>
      </c>
      <c r="F15" s="46">
        <v>856.0</v>
      </c>
      <c r="G15" s="47">
        <v>15541.0</v>
      </c>
      <c r="H15" s="22">
        <v>8619.0</v>
      </c>
      <c r="I15" s="22">
        <v>2550.0</v>
      </c>
      <c r="J15" s="22">
        <v>2142.0</v>
      </c>
      <c r="K15" s="46">
        <v>2230.0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45" t="s">
        <v>341</v>
      </c>
      <c r="B16" s="22">
        <v>23884.0</v>
      </c>
      <c r="C16" s="22">
        <v>10409.0</v>
      </c>
      <c r="D16" s="22">
        <v>3554.0</v>
      </c>
      <c r="E16" s="22">
        <v>4717.0</v>
      </c>
      <c r="F16" s="46">
        <v>5204.0</v>
      </c>
      <c r="G16" s="47">
        <v>139506.0</v>
      </c>
      <c r="H16" s="22">
        <v>91205.0</v>
      </c>
      <c r="I16" s="22">
        <v>14272.0</v>
      </c>
      <c r="J16" s="22">
        <v>15057.0</v>
      </c>
      <c r="K16" s="46">
        <v>18972.0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45" t="s">
        <v>342</v>
      </c>
      <c r="B17" s="22">
        <v>6306.0</v>
      </c>
      <c r="C17" s="22">
        <v>3375.0</v>
      </c>
      <c r="D17" s="22">
        <v>1052.0</v>
      </c>
      <c r="E17" s="22">
        <v>920.0</v>
      </c>
      <c r="F17" s="46">
        <v>959.0</v>
      </c>
      <c r="G17" s="47">
        <v>117211.0</v>
      </c>
      <c r="H17" s="22">
        <v>96006.0</v>
      </c>
      <c r="I17" s="22">
        <v>8594.0</v>
      </c>
      <c r="J17" s="22">
        <v>6595.0</v>
      </c>
      <c r="K17" s="46">
        <v>6016.0</v>
      </c>
      <c r="L17" s="2"/>
      <c r="M17" s="2"/>
      <c r="N17" s="2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45" t="s">
        <v>343</v>
      </c>
      <c r="B18" s="22">
        <v>5170.0</v>
      </c>
      <c r="C18" s="22">
        <v>2662.0</v>
      </c>
      <c r="D18" s="22">
        <v>861.0</v>
      </c>
      <c r="E18" s="22">
        <v>802.0</v>
      </c>
      <c r="F18" s="46">
        <v>845.0</v>
      </c>
      <c r="G18" s="47">
        <v>75987.0</v>
      </c>
      <c r="H18" s="22">
        <v>62608.0</v>
      </c>
      <c r="I18" s="22">
        <v>6648.0</v>
      </c>
      <c r="J18" s="22">
        <v>3501.0</v>
      </c>
      <c r="K18" s="46">
        <v>3230.0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45" t="s">
        <v>344</v>
      </c>
      <c r="B19" s="22">
        <v>279.0</v>
      </c>
      <c r="C19" s="22">
        <v>94.0</v>
      </c>
      <c r="D19" s="22">
        <v>45.0</v>
      </c>
      <c r="E19" s="22">
        <v>57.0</v>
      </c>
      <c r="F19" s="46">
        <v>83.0</v>
      </c>
      <c r="G19" s="47">
        <v>796.0</v>
      </c>
      <c r="H19" s="22">
        <v>288.0</v>
      </c>
      <c r="I19" s="22">
        <v>117.0</v>
      </c>
      <c r="J19" s="22">
        <v>211.0</v>
      </c>
      <c r="K19" s="46">
        <v>180.0</v>
      </c>
      <c r="L19" s="2"/>
      <c r="M19" s="2"/>
      <c r="N19" s="20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45" t="s">
        <v>345</v>
      </c>
      <c r="B20" s="22">
        <v>6603.0</v>
      </c>
      <c r="C20" s="22">
        <v>3032.0</v>
      </c>
      <c r="D20" s="22">
        <v>1105.0</v>
      </c>
      <c r="E20" s="22">
        <v>1142.0</v>
      </c>
      <c r="F20" s="46">
        <v>1324.0</v>
      </c>
      <c r="G20" s="47">
        <v>45040.0</v>
      </c>
      <c r="H20" s="22">
        <v>30152.0</v>
      </c>
      <c r="I20" s="22">
        <v>6796.0</v>
      </c>
      <c r="J20" s="22">
        <v>3916.0</v>
      </c>
      <c r="K20" s="46">
        <v>4176.0</v>
      </c>
      <c r="L20" s="2"/>
      <c r="M20" s="2"/>
      <c r="N20" s="20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15.75" customHeight="1">
      <c r="A21" s="45" t="s">
        <v>346</v>
      </c>
      <c r="B21" s="22">
        <v>7697.0</v>
      </c>
      <c r="C21" s="22">
        <v>2121.0</v>
      </c>
      <c r="D21" s="22">
        <v>1403.0</v>
      </c>
      <c r="E21" s="22">
        <v>2149.0</v>
      </c>
      <c r="F21" s="46">
        <v>2024.0</v>
      </c>
      <c r="G21" s="47">
        <v>30045.0</v>
      </c>
      <c r="H21" s="22">
        <v>13859.0</v>
      </c>
      <c r="I21" s="22">
        <v>4507.0</v>
      </c>
      <c r="J21" s="22">
        <v>6450.0</v>
      </c>
      <c r="K21" s="46">
        <v>5229.0</v>
      </c>
      <c r="L21" s="2"/>
      <c r="M21" s="2"/>
      <c r="N21" s="20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15.75" customHeight="1">
      <c r="A22" s="45" t="s">
        <v>347</v>
      </c>
      <c r="B22" s="22">
        <v>1753.0</v>
      </c>
      <c r="C22" s="22">
        <v>544.0</v>
      </c>
      <c r="D22" s="22">
        <v>377.0</v>
      </c>
      <c r="E22" s="22">
        <v>463.0</v>
      </c>
      <c r="F22" s="46">
        <v>369.0</v>
      </c>
      <c r="G22" s="47">
        <v>7001.0</v>
      </c>
      <c r="H22" s="22">
        <v>3319.0</v>
      </c>
      <c r="I22" s="22">
        <v>1363.0</v>
      </c>
      <c r="J22" s="22">
        <v>1460.0</v>
      </c>
      <c r="K22" s="46">
        <v>859.0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15.75" customHeight="1">
      <c r="A23" s="45" t="s">
        <v>348</v>
      </c>
      <c r="B23" s="22">
        <v>320.0</v>
      </c>
      <c r="C23" s="22">
        <v>122.0</v>
      </c>
      <c r="D23" s="22">
        <v>58.0</v>
      </c>
      <c r="E23" s="22">
        <v>86.0</v>
      </c>
      <c r="F23" s="46">
        <v>54.0</v>
      </c>
      <c r="G23" s="47">
        <v>1943.0</v>
      </c>
      <c r="H23" s="22">
        <v>1337.0</v>
      </c>
      <c r="I23" s="22">
        <v>177.0</v>
      </c>
      <c r="J23" s="22">
        <v>274.0</v>
      </c>
      <c r="K23" s="46">
        <v>155.0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15.75" customHeight="1">
      <c r="A24" s="45" t="s">
        <v>349</v>
      </c>
      <c r="B24" s="22">
        <v>4334.0</v>
      </c>
      <c r="C24" s="22">
        <v>1541.0</v>
      </c>
      <c r="D24" s="22">
        <v>762.0</v>
      </c>
      <c r="E24" s="22">
        <v>1023.0</v>
      </c>
      <c r="F24" s="46">
        <v>1008.0</v>
      </c>
      <c r="G24" s="47">
        <v>19753.0</v>
      </c>
      <c r="H24" s="22">
        <v>9825.0</v>
      </c>
      <c r="I24" s="22">
        <v>3543.0</v>
      </c>
      <c r="J24" s="22">
        <v>3398.0</v>
      </c>
      <c r="K24" s="46">
        <v>2987.0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15.75" customHeight="1">
      <c r="A25" s="45" t="s">
        <v>350</v>
      </c>
      <c r="B25" s="22">
        <v>2695.0</v>
      </c>
      <c r="C25" s="22">
        <v>1071.0</v>
      </c>
      <c r="D25" s="22">
        <v>507.0</v>
      </c>
      <c r="E25" s="22">
        <v>556.0</v>
      </c>
      <c r="F25" s="46">
        <v>561.0</v>
      </c>
      <c r="G25" s="47">
        <v>11786.0</v>
      </c>
      <c r="H25" s="22">
        <v>6789.0</v>
      </c>
      <c r="I25" s="22">
        <v>1853.0</v>
      </c>
      <c r="J25" s="22">
        <v>1766.0</v>
      </c>
      <c r="K25" s="46">
        <v>1378.0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15.75" customHeight="1">
      <c r="A26" s="45" t="s">
        <v>351</v>
      </c>
      <c r="B26" s="22">
        <v>3979.0</v>
      </c>
      <c r="C26" s="22">
        <v>1544.0</v>
      </c>
      <c r="D26" s="22">
        <v>718.0</v>
      </c>
      <c r="E26" s="22">
        <v>865.0</v>
      </c>
      <c r="F26" s="46">
        <v>852.0</v>
      </c>
      <c r="G26" s="47">
        <v>17196.0</v>
      </c>
      <c r="H26" s="22">
        <v>10384.0</v>
      </c>
      <c r="I26" s="22">
        <v>2501.0</v>
      </c>
      <c r="J26" s="22">
        <v>2408.0</v>
      </c>
      <c r="K26" s="46">
        <v>1903.0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15.75" customHeight="1">
      <c r="A27" s="45" t="s">
        <v>352</v>
      </c>
      <c r="B27" s="22">
        <v>4234.0</v>
      </c>
      <c r="C27" s="22">
        <v>1638.0</v>
      </c>
      <c r="D27" s="22">
        <v>894.0</v>
      </c>
      <c r="E27" s="22">
        <v>851.0</v>
      </c>
      <c r="F27" s="46">
        <v>851.0</v>
      </c>
      <c r="G27" s="47">
        <v>21372.0</v>
      </c>
      <c r="H27" s="22">
        <v>11206.0</v>
      </c>
      <c r="I27" s="22">
        <v>3880.0</v>
      </c>
      <c r="J27" s="22">
        <v>3961.0</v>
      </c>
      <c r="K27" s="46">
        <v>2325.0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15.75" customHeight="1">
      <c r="A28" s="45" t="s">
        <v>353</v>
      </c>
      <c r="B28" s="22">
        <v>3734.0</v>
      </c>
      <c r="C28" s="22">
        <v>1549.0</v>
      </c>
      <c r="D28" s="22">
        <v>553.0</v>
      </c>
      <c r="E28" s="22">
        <v>633.0</v>
      </c>
      <c r="F28" s="46">
        <v>999.0</v>
      </c>
      <c r="G28" s="47">
        <v>19559.0</v>
      </c>
      <c r="H28" s="22">
        <v>10788.0</v>
      </c>
      <c r="I28" s="22">
        <v>2835.0</v>
      </c>
      <c r="J28" s="22">
        <v>2605.0</v>
      </c>
      <c r="K28" s="46">
        <v>3331.0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t="15.75" customHeight="1">
      <c r="A29" s="21"/>
      <c r="B29" s="2"/>
      <c r="C29" s="2"/>
      <c r="D29" s="2"/>
      <c r="E29" s="2"/>
      <c r="F29" s="100"/>
      <c r="G29" s="21"/>
      <c r="H29" s="2"/>
      <c r="I29" s="2"/>
      <c r="J29" s="2"/>
      <c r="K29" s="10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15.75" customHeight="1">
      <c r="A30" s="75" t="s">
        <v>22</v>
      </c>
      <c r="B30" s="76">
        <v>9456.0</v>
      </c>
      <c r="C30" s="76">
        <v>3552.0</v>
      </c>
      <c r="D30" s="76">
        <v>1506.0</v>
      </c>
      <c r="E30" s="76">
        <v>2025.0</v>
      </c>
      <c r="F30" s="77">
        <v>2373.0</v>
      </c>
      <c r="G30" s="101">
        <v>26725.0</v>
      </c>
      <c r="H30" s="76">
        <v>11795.0</v>
      </c>
      <c r="I30" s="76">
        <v>4691.0</v>
      </c>
      <c r="J30" s="76">
        <v>5116.0</v>
      </c>
      <c r="K30" s="77">
        <v>5123.0</v>
      </c>
      <c r="L30" s="18"/>
      <c r="M30" s="18"/>
      <c r="N30" s="18"/>
      <c r="O30" s="18"/>
      <c r="P30" s="18"/>
      <c r="Q30" s="18"/>
      <c r="R30" s="18"/>
      <c r="S30" s="20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20"/>
      <c r="AE30" s="18"/>
    </row>
    <row r="31" ht="15.75" customHeight="1">
      <c r="A31" s="45" t="s">
        <v>354</v>
      </c>
      <c r="B31" s="52">
        <v>616.0</v>
      </c>
      <c r="C31" s="52">
        <v>273.0</v>
      </c>
      <c r="D31" s="52">
        <v>105.0</v>
      </c>
      <c r="E31" s="52">
        <v>120.0</v>
      </c>
      <c r="F31" s="105">
        <v>118.0</v>
      </c>
      <c r="G31" s="106">
        <v>1663.0</v>
      </c>
      <c r="H31" s="52">
        <v>781.0</v>
      </c>
      <c r="I31" s="52">
        <v>299.0</v>
      </c>
      <c r="J31" s="52">
        <v>314.0</v>
      </c>
      <c r="K31" s="105">
        <v>269.0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15.75" customHeight="1">
      <c r="A32" s="45" t="s">
        <v>355</v>
      </c>
      <c r="B32" s="52">
        <v>318.0</v>
      </c>
      <c r="C32" s="52">
        <v>166.0</v>
      </c>
      <c r="D32" s="52">
        <v>45.0</v>
      </c>
      <c r="E32" s="52">
        <v>52.0</v>
      </c>
      <c r="F32" s="105">
        <v>55.0</v>
      </c>
      <c r="G32" s="106">
        <v>1230.0</v>
      </c>
      <c r="H32" s="52">
        <v>804.0</v>
      </c>
      <c r="I32" s="52">
        <v>131.0</v>
      </c>
      <c r="J32" s="52">
        <v>173.0</v>
      </c>
      <c r="K32" s="105">
        <v>122.0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t="15.75" customHeight="1">
      <c r="A33" s="45" t="s">
        <v>357</v>
      </c>
      <c r="B33" s="52">
        <v>6832.0</v>
      </c>
      <c r="C33" s="52">
        <v>2446.0</v>
      </c>
      <c r="D33" s="52">
        <v>1023.0</v>
      </c>
      <c r="E33" s="52">
        <v>1450.0</v>
      </c>
      <c r="F33" s="105">
        <v>1913.0</v>
      </c>
      <c r="G33" s="106">
        <v>19179.0</v>
      </c>
      <c r="H33" s="52">
        <v>8190.0</v>
      </c>
      <c r="I33" s="52">
        <v>3294.0</v>
      </c>
      <c r="J33" s="52">
        <v>3621.0</v>
      </c>
      <c r="K33" s="105">
        <v>4074.0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15.75" customHeight="1">
      <c r="A34" s="45" t="s">
        <v>358</v>
      </c>
      <c r="B34" s="52">
        <v>322.0</v>
      </c>
      <c r="C34" s="52">
        <v>160.0</v>
      </c>
      <c r="D34" s="52">
        <v>69.0</v>
      </c>
      <c r="E34" s="52">
        <v>46.0</v>
      </c>
      <c r="F34" s="105">
        <v>47.0</v>
      </c>
      <c r="G34" s="106">
        <v>962.0</v>
      </c>
      <c r="H34" s="52">
        <v>518.0</v>
      </c>
      <c r="I34" s="52">
        <v>190.0</v>
      </c>
      <c r="J34" s="52">
        <v>148.0</v>
      </c>
      <c r="K34" s="105">
        <v>106.0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15.75" customHeight="1">
      <c r="A35" s="45" t="s">
        <v>359</v>
      </c>
      <c r="B35" s="52">
        <v>637.0</v>
      </c>
      <c r="C35" s="52">
        <v>233.0</v>
      </c>
      <c r="D35" s="52">
        <v>126.0</v>
      </c>
      <c r="E35" s="52">
        <v>164.0</v>
      </c>
      <c r="F35" s="105">
        <v>114.0</v>
      </c>
      <c r="G35" s="106">
        <v>2242.0</v>
      </c>
      <c r="H35" s="52">
        <v>959.0</v>
      </c>
      <c r="I35" s="52">
        <v>496.0</v>
      </c>
      <c r="J35" s="52">
        <v>470.0</v>
      </c>
      <c r="K35" s="105">
        <v>317.0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15.75" customHeight="1">
      <c r="A36" s="45" t="s">
        <v>360</v>
      </c>
      <c r="B36" s="52">
        <v>731.0</v>
      </c>
      <c r="C36" s="52">
        <v>274.0</v>
      </c>
      <c r="D36" s="52">
        <v>138.0</v>
      </c>
      <c r="E36" s="52">
        <v>193.0</v>
      </c>
      <c r="F36" s="105">
        <v>126.0</v>
      </c>
      <c r="G36" s="106">
        <v>1449.0</v>
      </c>
      <c r="H36" s="52">
        <v>543.0</v>
      </c>
      <c r="I36" s="52">
        <v>281.0</v>
      </c>
      <c r="J36" s="52">
        <v>390.0</v>
      </c>
      <c r="K36" s="105">
        <v>235.0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15.75" customHeight="1">
      <c r="A37" s="21"/>
      <c r="B37" s="2"/>
      <c r="C37" s="2"/>
      <c r="D37" s="2"/>
      <c r="E37" s="2"/>
      <c r="F37" s="100"/>
      <c r="G37" s="21"/>
      <c r="H37" s="2"/>
      <c r="I37" s="2"/>
      <c r="J37" s="2"/>
      <c r="K37" s="100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15.75" customHeight="1">
      <c r="A38" s="75" t="s">
        <v>23</v>
      </c>
      <c r="B38" s="76">
        <v>25672.0</v>
      </c>
      <c r="C38" s="76">
        <v>7864.0</v>
      </c>
      <c r="D38" s="76">
        <v>4814.0</v>
      </c>
      <c r="E38" s="76">
        <v>6171.0</v>
      </c>
      <c r="F38" s="77">
        <v>6823.0</v>
      </c>
      <c r="G38" s="101">
        <v>84602.0</v>
      </c>
      <c r="H38" s="76">
        <v>31888.0</v>
      </c>
      <c r="I38" s="76">
        <v>16642.0</v>
      </c>
      <c r="J38" s="76">
        <v>18453.0</v>
      </c>
      <c r="K38" s="77">
        <v>17619.0</v>
      </c>
      <c r="L38" s="18"/>
      <c r="M38" s="18"/>
      <c r="N38" s="18"/>
      <c r="O38" s="18"/>
      <c r="P38" s="18"/>
      <c r="Q38" s="18"/>
      <c r="R38" s="18"/>
      <c r="S38" s="20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20"/>
      <c r="AE38" s="18"/>
    </row>
    <row r="39" ht="15.75" customHeight="1">
      <c r="A39" s="45" t="s">
        <v>361</v>
      </c>
      <c r="B39" s="52">
        <v>3875.0</v>
      </c>
      <c r="C39" s="52">
        <v>1482.0</v>
      </c>
      <c r="D39" s="52">
        <v>677.0</v>
      </c>
      <c r="E39" s="52">
        <v>921.0</v>
      </c>
      <c r="F39" s="105">
        <v>795.0</v>
      </c>
      <c r="G39" s="106">
        <v>12310.0</v>
      </c>
      <c r="H39" s="52">
        <v>6259.0</v>
      </c>
      <c r="I39" s="52">
        <v>1941.0</v>
      </c>
      <c r="J39" s="52">
        <v>2303.0</v>
      </c>
      <c r="K39" s="105">
        <v>1807.0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15.75" customHeight="1">
      <c r="A40" s="45" t="s">
        <v>362</v>
      </c>
      <c r="B40" s="52">
        <v>3851.0</v>
      </c>
      <c r="C40" s="52">
        <v>1220.0</v>
      </c>
      <c r="D40" s="52">
        <v>775.0</v>
      </c>
      <c r="E40" s="52">
        <v>972.0</v>
      </c>
      <c r="F40" s="105">
        <v>884.0</v>
      </c>
      <c r="G40" s="106">
        <v>13177.0</v>
      </c>
      <c r="H40" s="52">
        <v>5310.0</v>
      </c>
      <c r="I40" s="52">
        <v>2581.0</v>
      </c>
      <c r="J40" s="52">
        <v>2853.0</v>
      </c>
      <c r="K40" s="105">
        <v>2433.0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15.75" customHeight="1">
      <c r="A41" s="45" t="s">
        <v>363</v>
      </c>
      <c r="B41" s="52">
        <v>4704.0</v>
      </c>
      <c r="C41" s="52">
        <v>1892.0</v>
      </c>
      <c r="D41" s="52">
        <v>756.0</v>
      </c>
      <c r="E41" s="52">
        <v>980.0</v>
      </c>
      <c r="F41" s="105">
        <v>1076.0</v>
      </c>
      <c r="G41" s="106">
        <v>15989.0</v>
      </c>
      <c r="H41" s="52">
        <v>7147.0</v>
      </c>
      <c r="I41" s="52">
        <v>2997.0</v>
      </c>
      <c r="J41" s="52">
        <v>2992.0</v>
      </c>
      <c r="K41" s="105">
        <v>2853.0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15.75" customHeight="1">
      <c r="A42" s="45" t="s">
        <v>364</v>
      </c>
      <c r="B42" s="52">
        <v>13242.0</v>
      </c>
      <c r="C42" s="52">
        <v>3270.0</v>
      </c>
      <c r="D42" s="52">
        <v>2606.0</v>
      </c>
      <c r="E42" s="52">
        <v>3298.0</v>
      </c>
      <c r="F42" s="105">
        <v>4068.0</v>
      </c>
      <c r="G42" s="106">
        <v>43126.0</v>
      </c>
      <c r="H42" s="52">
        <v>13172.0</v>
      </c>
      <c r="I42" s="52">
        <v>9123.0</v>
      </c>
      <c r="J42" s="52">
        <v>10305.0</v>
      </c>
      <c r="K42" s="105">
        <v>10526.0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15.75" customHeight="1">
      <c r="A43" s="21"/>
      <c r="B43" s="2"/>
      <c r="C43" s="2"/>
      <c r="D43" s="2"/>
      <c r="E43" s="2"/>
      <c r="F43" s="100"/>
      <c r="G43" s="21"/>
      <c r="H43" s="2"/>
      <c r="I43" s="2"/>
      <c r="J43" s="2"/>
      <c r="K43" s="100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15.75" customHeight="1">
      <c r="A44" s="75" t="s">
        <v>24</v>
      </c>
      <c r="B44" s="76">
        <v>12586.0</v>
      </c>
      <c r="C44" s="76">
        <v>4359.0</v>
      </c>
      <c r="D44" s="76">
        <v>2347.0</v>
      </c>
      <c r="E44" s="76">
        <v>2931.0</v>
      </c>
      <c r="F44" s="77">
        <v>2949.0</v>
      </c>
      <c r="G44" s="101">
        <v>40108.0</v>
      </c>
      <c r="H44" s="76">
        <v>16409.0</v>
      </c>
      <c r="I44" s="76">
        <v>7582.0</v>
      </c>
      <c r="J44" s="76">
        <v>8494.0</v>
      </c>
      <c r="K44" s="77">
        <v>7623.0</v>
      </c>
      <c r="L44" s="18"/>
      <c r="M44" s="18"/>
      <c r="N44" s="18"/>
      <c r="O44" s="18"/>
      <c r="P44" s="18"/>
      <c r="Q44" s="18"/>
      <c r="R44" s="18"/>
      <c r="S44" s="20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20"/>
      <c r="AE44" s="18"/>
    </row>
    <row r="45" ht="15.75" customHeight="1">
      <c r="A45" s="45" t="s">
        <v>365</v>
      </c>
      <c r="B45" s="22">
        <v>91.0</v>
      </c>
      <c r="C45" s="22">
        <v>37.0</v>
      </c>
      <c r="D45" s="22">
        <v>16.0</v>
      </c>
      <c r="E45" s="22">
        <v>17.0</v>
      </c>
      <c r="F45" s="46">
        <v>21.0</v>
      </c>
      <c r="G45" s="47">
        <v>301.0</v>
      </c>
      <c r="H45" s="22">
        <v>170.0</v>
      </c>
      <c r="I45" s="22">
        <v>35.0</v>
      </c>
      <c r="J45" s="22">
        <v>43.0</v>
      </c>
      <c r="K45" s="46">
        <v>53.0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15.75" customHeight="1">
      <c r="A46" s="45" t="s">
        <v>366</v>
      </c>
      <c r="B46" s="22">
        <v>2656.0</v>
      </c>
      <c r="C46" s="22">
        <v>974.0</v>
      </c>
      <c r="D46" s="22">
        <v>474.0</v>
      </c>
      <c r="E46" s="22">
        <v>654.0</v>
      </c>
      <c r="F46" s="46">
        <v>554.0</v>
      </c>
      <c r="G46" s="47">
        <v>8824.0</v>
      </c>
      <c r="H46" s="22">
        <v>3663.0</v>
      </c>
      <c r="I46" s="22">
        <v>1649.0</v>
      </c>
      <c r="J46" s="22">
        <v>1741.0</v>
      </c>
      <c r="K46" s="46">
        <v>1771.0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15.75" customHeight="1">
      <c r="A47" s="21" t="s">
        <v>367</v>
      </c>
      <c r="B47" s="52">
        <v>6490.0</v>
      </c>
      <c r="C47" s="52">
        <v>2207.0</v>
      </c>
      <c r="D47" s="52">
        <v>1263.0</v>
      </c>
      <c r="E47" s="52">
        <v>1426.0</v>
      </c>
      <c r="F47" s="105">
        <v>1594.0</v>
      </c>
      <c r="G47" s="106">
        <v>20032.0</v>
      </c>
      <c r="H47" s="52">
        <v>7795.0</v>
      </c>
      <c r="I47" s="52">
        <v>4027.0</v>
      </c>
      <c r="J47" s="52">
        <v>4323.0</v>
      </c>
      <c r="K47" s="105">
        <v>3887.0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</row>
    <row r="48" ht="15.75" customHeight="1">
      <c r="A48" s="21" t="s">
        <v>368</v>
      </c>
      <c r="B48" s="52">
        <v>2326.0</v>
      </c>
      <c r="C48" s="52">
        <v>791.0</v>
      </c>
      <c r="D48" s="52">
        <v>411.0</v>
      </c>
      <c r="E48" s="52">
        <v>572.0</v>
      </c>
      <c r="F48" s="105">
        <v>552.0</v>
      </c>
      <c r="G48" s="106">
        <v>7782.0</v>
      </c>
      <c r="H48" s="52">
        <v>3517.0</v>
      </c>
      <c r="I48" s="52">
        <v>1307.0</v>
      </c>
      <c r="J48" s="52">
        <v>1621.0</v>
      </c>
      <c r="K48" s="105">
        <v>1337.0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</row>
    <row r="49" ht="15.75" customHeight="1">
      <c r="A49" s="21" t="s">
        <v>369</v>
      </c>
      <c r="B49" s="52">
        <v>1023.0</v>
      </c>
      <c r="C49" s="52">
        <v>350.0</v>
      </c>
      <c r="D49" s="52">
        <v>183.0</v>
      </c>
      <c r="E49" s="52">
        <v>262.0</v>
      </c>
      <c r="F49" s="105">
        <v>228.0</v>
      </c>
      <c r="G49" s="106">
        <v>3169.0</v>
      </c>
      <c r="H49" s="52">
        <v>1264.0</v>
      </c>
      <c r="I49" s="52">
        <v>564.0</v>
      </c>
      <c r="J49" s="52">
        <v>766.0</v>
      </c>
      <c r="K49" s="105">
        <v>575.0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</row>
    <row r="50" ht="15.75" customHeight="1">
      <c r="A50" s="107"/>
      <c r="B50" s="2"/>
      <c r="C50" s="2"/>
      <c r="D50" s="2"/>
      <c r="E50" s="2"/>
      <c r="F50" s="100"/>
      <c r="G50" s="21"/>
      <c r="H50" s="2"/>
      <c r="I50" s="2"/>
      <c r="J50" s="2"/>
      <c r="K50" s="100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15.75" customHeight="1">
      <c r="A51" s="75" t="s">
        <v>25</v>
      </c>
      <c r="B51" s="76">
        <v>63470.0</v>
      </c>
      <c r="C51" s="76">
        <v>18835.0</v>
      </c>
      <c r="D51" s="76">
        <v>12021.0</v>
      </c>
      <c r="E51" s="76">
        <v>16435.0</v>
      </c>
      <c r="F51" s="77">
        <v>16179.0</v>
      </c>
      <c r="G51" s="101">
        <v>257141.0</v>
      </c>
      <c r="H51" s="76">
        <v>115357.0</v>
      </c>
      <c r="I51" s="76">
        <v>49097.0</v>
      </c>
      <c r="J51" s="76">
        <v>49786.0</v>
      </c>
      <c r="K51" s="77">
        <v>42901.0</v>
      </c>
      <c r="L51" s="18"/>
      <c r="M51" s="18"/>
      <c r="N51" s="18"/>
      <c r="O51" s="18"/>
      <c r="P51" s="18"/>
      <c r="Q51" s="18"/>
      <c r="R51" s="18"/>
      <c r="S51" s="20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20"/>
      <c r="AE51" s="18"/>
    </row>
    <row r="52" ht="15.75" customHeight="1">
      <c r="A52" s="45" t="s">
        <v>370</v>
      </c>
      <c r="B52" s="52">
        <v>739.0</v>
      </c>
      <c r="C52" s="52">
        <v>294.0</v>
      </c>
      <c r="D52" s="52">
        <v>158.0</v>
      </c>
      <c r="E52" s="52">
        <v>154.0</v>
      </c>
      <c r="F52" s="105">
        <v>133.0</v>
      </c>
      <c r="G52" s="106">
        <v>1935.0</v>
      </c>
      <c r="H52" s="52">
        <v>764.0</v>
      </c>
      <c r="I52" s="52">
        <v>464.0</v>
      </c>
      <c r="J52" s="52">
        <v>416.0</v>
      </c>
      <c r="K52" s="105">
        <v>291.0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15.75" customHeight="1">
      <c r="A53" s="45" t="s">
        <v>371</v>
      </c>
      <c r="B53" s="52">
        <v>4840.0</v>
      </c>
      <c r="C53" s="52">
        <v>1262.0</v>
      </c>
      <c r="D53" s="52">
        <v>918.0</v>
      </c>
      <c r="E53" s="52">
        <v>1249.0</v>
      </c>
      <c r="F53" s="105">
        <v>1411.0</v>
      </c>
      <c r="G53" s="106">
        <v>21853.0</v>
      </c>
      <c r="H53" s="52">
        <v>8095.0</v>
      </c>
      <c r="I53" s="52">
        <v>6670.0</v>
      </c>
      <c r="J53" s="52">
        <v>3645.0</v>
      </c>
      <c r="K53" s="105">
        <v>3443.0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15.75" customHeight="1">
      <c r="A54" s="45" t="s">
        <v>372</v>
      </c>
      <c r="B54" s="52">
        <v>22737.0</v>
      </c>
      <c r="C54" s="52">
        <v>5914.0</v>
      </c>
      <c r="D54" s="52">
        <v>4342.0</v>
      </c>
      <c r="E54" s="52">
        <v>6417.0</v>
      </c>
      <c r="F54" s="105">
        <v>6064.0</v>
      </c>
      <c r="G54" s="106">
        <v>86216.0</v>
      </c>
      <c r="H54" s="52">
        <v>32897.0</v>
      </c>
      <c r="I54" s="52">
        <v>17315.0</v>
      </c>
      <c r="J54" s="52">
        <v>19332.0</v>
      </c>
      <c r="K54" s="105">
        <v>16672.0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15.75" customHeight="1">
      <c r="A55" s="45" t="s">
        <v>373</v>
      </c>
      <c r="B55" s="52">
        <v>9435.0</v>
      </c>
      <c r="C55" s="52">
        <v>2881.0</v>
      </c>
      <c r="D55" s="52">
        <v>1876.0</v>
      </c>
      <c r="E55" s="52">
        <v>2460.0</v>
      </c>
      <c r="F55" s="105">
        <v>2218.0</v>
      </c>
      <c r="G55" s="106">
        <v>30197.0</v>
      </c>
      <c r="H55" s="52">
        <v>11112.0</v>
      </c>
      <c r="I55" s="52">
        <v>6792.0</v>
      </c>
      <c r="J55" s="52">
        <v>6753.0</v>
      </c>
      <c r="K55" s="105">
        <v>5540.0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15.75" customHeight="1">
      <c r="A56" s="45" t="s">
        <v>374</v>
      </c>
      <c r="B56" s="52">
        <v>14755.0</v>
      </c>
      <c r="C56" s="52">
        <v>4501.0</v>
      </c>
      <c r="D56" s="52">
        <v>2796.0</v>
      </c>
      <c r="E56" s="52">
        <v>3728.0</v>
      </c>
      <c r="F56" s="105">
        <v>3730.0</v>
      </c>
      <c r="G56" s="106">
        <v>79072.0</v>
      </c>
      <c r="H56" s="52">
        <v>45596.0</v>
      </c>
      <c r="I56" s="52">
        <v>11032.0</v>
      </c>
      <c r="J56" s="52">
        <v>11724.0</v>
      </c>
      <c r="K56" s="105">
        <v>10720.0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15.75" customHeight="1">
      <c r="A57" s="45" t="s">
        <v>375</v>
      </c>
      <c r="B57" s="52">
        <v>5309.0</v>
      </c>
      <c r="C57" s="52">
        <v>1419.0</v>
      </c>
      <c r="D57" s="52">
        <v>952.0</v>
      </c>
      <c r="E57" s="52">
        <v>1415.0</v>
      </c>
      <c r="F57" s="105">
        <v>1523.0</v>
      </c>
      <c r="G57" s="106">
        <v>16790.0</v>
      </c>
      <c r="H57" s="52">
        <v>5756.0</v>
      </c>
      <c r="I57" s="52">
        <v>3172.0</v>
      </c>
      <c r="J57" s="52">
        <v>4285.0</v>
      </c>
      <c r="K57" s="105">
        <v>3577.0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15.75" customHeight="1">
      <c r="A58" s="45" t="s">
        <v>376</v>
      </c>
      <c r="B58" s="52">
        <v>5655.0</v>
      </c>
      <c r="C58" s="52">
        <v>2564.0</v>
      </c>
      <c r="D58" s="52">
        <v>979.0</v>
      </c>
      <c r="E58" s="52">
        <v>1012.0</v>
      </c>
      <c r="F58" s="105">
        <v>1100.0</v>
      </c>
      <c r="G58" s="106">
        <v>21078.0</v>
      </c>
      <c r="H58" s="52">
        <v>11137.0</v>
      </c>
      <c r="I58" s="52">
        <v>3652.0</v>
      </c>
      <c r="J58" s="52">
        <v>3631.0</v>
      </c>
      <c r="K58" s="105">
        <v>2658.0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5.75" customHeight="1">
      <c r="A59" s="21"/>
      <c r="B59" s="2"/>
      <c r="C59" s="2"/>
      <c r="D59" s="2"/>
      <c r="E59" s="2"/>
      <c r="F59" s="100"/>
      <c r="G59" s="21"/>
      <c r="H59" s="2"/>
      <c r="I59" s="2"/>
      <c r="J59" s="2"/>
      <c r="K59" s="100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15.75" customHeight="1">
      <c r="A60" s="75" t="s">
        <v>26</v>
      </c>
      <c r="B60" s="76">
        <v>74227.0</v>
      </c>
      <c r="C60" s="76">
        <v>20699.0</v>
      </c>
      <c r="D60" s="76">
        <v>16428.0</v>
      </c>
      <c r="E60" s="76">
        <v>18551.0</v>
      </c>
      <c r="F60" s="77">
        <v>18549.0</v>
      </c>
      <c r="G60" s="101">
        <v>317157.0</v>
      </c>
      <c r="H60" s="76">
        <v>135798.0</v>
      </c>
      <c r="I60" s="76">
        <v>68981.0</v>
      </c>
      <c r="J60" s="76">
        <v>59381.0</v>
      </c>
      <c r="K60" s="77">
        <v>52997.0</v>
      </c>
      <c r="L60" s="18"/>
      <c r="M60" s="18"/>
      <c r="N60" s="18"/>
      <c r="O60" s="18"/>
      <c r="P60" s="18"/>
      <c r="Q60" s="18"/>
      <c r="R60" s="18"/>
      <c r="S60" s="20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20"/>
      <c r="AE60" s="18"/>
    </row>
    <row r="61" ht="15.75" customHeight="1">
      <c r="A61" s="108" t="s">
        <v>377</v>
      </c>
      <c r="B61" s="52">
        <v>13257.0</v>
      </c>
      <c r="C61" s="52">
        <v>4743.0</v>
      </c>
      <c r="D61" s="52">
        <v>2319.0</v>
      </c>
      <c r="E61" s="52">
        <v>2829.0</v>
      </c>
      <c r="F61" s="105">
        <v>3366.0</v>
      </c>
      <c r="G61" s="106">
        <v>56967.0</v>
      </c>
      <c r="H61" s="52">
        <v>31267.0</v>
      </c>
      <c r="I61" s="52">
        <v>8454.0</v>
      </c>
      <c r="J61" s="52">
        <v>8102.0</v>
      </c>
      <c r="K61" s="105">
        <v>9144.0</v>
      </c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</row>
    <row r="62" ht="15.75" customHeight="1">
      <c r="A62" s="108" t="s">
        <v>378</v>
      </c>
      <c r="B62" s="52">
        <v>23391.0</v>
      </c>
      <c r="C62" s="52">
        <v>4465.0</v>
      </c>
      <c r="D62" s="52">
        <v>6692.0</v>
      </c>
      <c r="E62" s="52">
        <v>5903.0</v>
      </c>
      <c r="F62" s="105">
        <v>6331.0</v>
      </c>
      <c r="G62" s="106">
        <v>101377.0</v>
      </c>
      <c r="H62" s="52">
        <v>32460.0</v>
      </c>
      <c r="I62" s="52">
        <v>31522.0</v>
      </c>
      <c r="J62" s="52">
        <v>19580.0</v>
      </c>
      <c r="K62" s="105">
        <v>17815.0</v>
      </c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</row>
    <row r="63" ht="15.75" customHeight="1">
      <c r="A63" s="108" t="s">
        <v>379</v>
      </c>
      <c r="B63" s="52">
        <v>11510.0</v>
      </c>
      <c r="C63" s="52">
        <v>4238.0</v>
      </c>
      <c r="D63" s="52">
        <v>2213.0</v>
      </c>
      <c r="E63" s="52">
        <v>2906.0</v>
      </c>
      <c r="F63" s="105">
        <v>2153.0</v>
      </c>
      <c r="G63" s="106">
        <v>61062.0</v>
      </c>
      <c r="H63" s="52">
        <v>31016.0</v>
      </c>
      <c r="I63" s="52">
        <v>9855.0</v>
      </c>
      <c r="J63" s="52">
        <v>11486.0</v>
      </c>
      <c r="K63" s="105">
        <v>8705.0</v>
      </c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</row>
    <row r="64" ht="15.75" customHeight="1">
      <c r="A64" s="108" t="s">
        <v>380</v>
      </c>
      <c r="B64" s="52">
        <v>8259.0</v>
      </c>
      <c r="C64" s="52">
        <v>2574.0</v>
      </c>
      <c r="D64" s="52">
        <v>1479.0</v>
      </c>
      <c r="E64" s="52">
        <v>2000.0</v>
      </c>
      <c r="F64" s="105">
        <v>2206.0</v>
      </c>
      <c r="G64" s="106">
        <v>26372.0</v>
      </c>
      <c r="H64" s="52">
        <v>10020.0</v>
      </c>
      <c r="I64" s="52">
        <v>4953.0</v>
      </c>
      <c r="J64" s="52">
        <v>5683.0</v>
      </c>
      <c r="K64" s="105">
        <v>5716.0</v>
      </c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</row>
    <row r="65" ht="15.75" customHeight="1">
      <c r="A65" s="108" t="s">
        <v>381</v>
      </c>
      <c r="B65" s="52">
        <v>17810.0</v>
      </c>
      <c r="C65" s="52">
        <v>4679.0</v>
      </c>
      <c r="D65" s="52">
        <v>3725.0</v>
      </c>
      <c r="E65" s="52">
        <v>4913.0</v>
      </c>
      <c r="F65" s="105">
        <v>4493.0</v>
      </c>
      <c r="G65" s="106">
        <v>71379.0</v>
      </c>
      <c r="H65" s="52">
        <v>31035.0</v>
      </c>
      <c r="I65" s="52">
        <v>14197.0</v>
      </c>
      <c r="J65" s="52">
        <v>14530.0</v>
      </c>
      <c r="K65" s="105">
        <v>11617.0</v>
      </c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</row>
    <row r="66" ht="15.75" customHeight="1">
      <c r="A66" s="21"/>
      <c r="B66" s="2"/>
      <c r="C66" s="2"/>
      <c r="D66" s="2"/>
      <c r="E66" s="2"/>
      <c r="F66" s="100"/>
      <c r="G66" s="21"/>
      <c r="H66" s="2"/>
      <c r="I66" s="52"/>
      <c r="J66" s="52"/>
      <c r="K66" s="10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15.75" customHeight="1">
      <c r="A67" s="75" t="s">
        <v>27</v>
      </c>
      <c r="B67" s="76">
        <v>8330.0</v>
      </c>
      <c r="C67" s="76">
        <v>2666.0</v>
      </c>
      <c r="D67" s="76">
        <v>1552.0</v>
      </c>
      <c r="E67" s="76">
        <v>1938.0</v>
      </c>
      <c r="F67" s="77">
        <v>2174.0</v>
      </c>
      <c r="G67" s="101">
        <v>28682.0</v>
      </c>
      <c r="H67" s="76">
        <v>11850.0</v>
      </c>
      <c r="I67" s="76">
        <v>5762.0</v>
      </c>
      <c r="J67" s="76">
        <v>5704.0</v>
      </c>
      <c r="K67" s="77">
        <v>5366.0</v>
      </c>
      <c r="L67" s="18"/>
      <c r="M67" s="18"/>
      <c r="N67" s="18"/>
      <c r="O67" s="18"/>
      <c r="P67" s="18"/>
      <c r="Q67" s="18"/>
      <c r="R67" s="18"/>
      <c r="S67" s="20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20"/>
      <c r="AE67" s="18"/>
    </row>
    <row r="68" ht="15.75" customHeight="1">
      <c r="A68" s="45" t="s">
        <v>382</v>
      </c>
      <c r="B68" s="2">
        <v>721.0</v>
      </c>
      <c r="C68" s="2">
        <v>156.0</v>
      </c>
      <c r="D68" s="2">
        <v>151.0</v>
      </c>
      <c r="E68" s="2">
        <v>197.0</v>
      </c>
      <c r="F68" s="100">
        <v>217.0</v>
      </c>
      <c r="G68" s="21">
        <v>2121.0</v>
      </c>
      <c r="H68" s="2">
        <v>716.0</v>
      </c>
      <c r="I68" s="2">
        <v>381.0</v>
      </c>
      <c r="J68" s="2">
        <v>535.0</v>
      </c>
      <c r="K68" s="100">
        <v>489.0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</row>
    <row r="69" ht="15.75" customHeight="1">
      <c r="A69" s="45" t="s">
        <v>383</v>
      </c>
      <c r="B69" s="2">
        <v>1292.0</v>
      </c>
      <c r="C69" s="2">
        <v>361.0</v>
      </c>
      <c r="D69" s="2">
        <v>256.0</v>
      </c>
      <c r="E69" s="2">
        <v>322.0</v>
      </c>
      <c r="F69" s="100">
        <v>353.0</v>
      </c>
      <c r="G69" s="21">
        <v>4160.0</v>
      </c>
      <c r="H69" s="2">
        <v>1581.0</v>
      </c>
      <c r="I69" s="2">
        <v>748.0</v>
      </c>
      <c r="J69" s="2">
        <v>905.0</v>
      </c>
      <c r="K69" s="100">
        <v>926.0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</row>
    <row r="70" ht="15.75" customHeight="1">
      <c r="A70" s="45" t="s">
        <v>384</v>
      </c>
      <c r="B70" s="2">
        <v>4125.0</v>
      </c>
      <c r="C70" s="2">
        <v>1387.0</v>
      </c>
      <c r="D70" s="2">
        <v>693.0</v>
      </c>
      <c r="E70" s="2">
        <v>942.0</v>
      </c>
      <c r="F70" s="100">
        <v>1103.0</v>
      </c>
      <c r="G70" s="21">
        <v>12943.0</v>
      </c>
      <c r="H70" s="2">
        <v>5128.0</v>
      </c>
      <c r="I70" s="2">
        <v>2494.0</v>
      </c>
      <c r="J70" s="2">
        <v>2669.0</v>
      </c>
      <c r="K70" s="100">
        <v>2652.0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15.75" customHeight="1">
      <c r="A71" s="45" t="s">
        <v>385</v>
      </c>
      <c r="B71" s="2">
        <v>891.0</v>
      </c>
      <c r="C71" s="2">
        <v>355.0</v>
      </c>
      <c r="D71" s="2">
        <v>189.0</v>
      </c>
      <c r="E71" s="2">
        <v>205.0</v>
      </c>
      <c r="F71" s="100">
        <v>142.0</v>
      </c>
      <c r="G71" s="21">
        <v>5991.0</v>
      </c>
      <c r="H71" s="2">
        <v>3118.0</v>
      </c>
      <c r="I71" s="2">
        <v>1431.0</v>
      </c>
      <c r="J71" s="2">
        <v>901.0</v>
      </c>
      <c r="K71" s="100">
        <v>541.0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15.75" customHeight="1">
      <c r="A72" s="45" t="s">
        <v>386</v>
      </c>
      <c r="B72" s="2">
        <v>1301.0</v>
      </c>
      <c r="C72" s="2">
        <v>407.0</v>
      </c>
      <c r="D72" s="2">
        <v>263.0</v>
      </c>
      <c r="E72" s="2">
        <v>272.0</v>
      </c>
      <c r="F72" s="100">
        <v>359.0</v>
      </c>
      <c r="G72" s="21">
        <v>3467.0</v>
      </c>
      <c r="H72" s="2">
        <v>1307.0</v>
      </c>
      <c r="I72" s="2">
        <v>708.0</v>
      </c>
      <c r="J72" s="2">
        <v>694.0</v>
      </c>
      <c r="K72" s="100">
        <v>758.0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15.75" customHeight="1">
      <c r="A73" s="21"/>
      <c r="B73" s="2"/>
      <c r="C73" s="2"/>
      <c r="D73" s="2"/>
      <c r="E73" s="2"/>
      <c r="F73" s="100"/>
      <c r="G73" s="21"/>
      <c r="H73" s="2"/>
      <c r="I73" s="2"/>
      <c r="J73" s="2"/>
      <c r="K73" s="100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15.75" customHeight="1">
      <c r="A74" s="75" t="s">
        <v>28</v>
      </c>
      <c r="B74" s="76">
        <v>18752.0</v>
      </c>
      <c r="C74" s="76">
        <v>6967.0</v>
      </c>
      <c r="D74" s="76">
        <v>3172.0</v>
      </c>
      <c r="E74" s="76">
        <v>4155.0</v>
      </c>
      <c r="F74" s="77">
        <v>4458.0</v>
      </c>
      <c r="G74" s="101">
        <v>69764.0</v>
      </c>
      <c r="H74" s="76">
        <v>31729.0</v>
      </c>
      <c r="I74" s="76">
        <v>12540.0</v>
      </c>
      <c r="J74" s="76">
        <v>13043.0</v>
      </c>
      <c r="K74" s="77">
        <v>12452.0</v>
      </c>
      <c r="L74" s="18"/>
      <c r="M74" s="18"/>
      <c r="N74" s="18"/>
      <c r="O74" s="18"/>
      <c r="P74" s="18"/>
      <c r="Q74" s="18"/>
      <c r="R74" s="18"/>
      <c r="S74" s="20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20"/>
      <c r="AE74" s="18"/>
    </row>
    <row r="75" ht="15.75" customHeight="1">
      <c r="A75" s="21" t="s">
        <v>387</v>
      </c>
      <c r="B75" s="52">
        <v>4496.0</v>
      </c>
      <c r="C75" s="52">
        <v>1490.0</v>
      </c>
      <c r="D75" s="52">
        <v>808.0</v>
      </c>
      <c r="E75" s="52">
        <v>1018.0</v>
      </c>
      <c r="F75" s="105">
        <v>1180.0</v>
      </c>
      <c r="G75" s="106">
        <v>17319.0</v>
      </c>
      <c r="H75" s="52">
        <v>7133.0</v>
      </c>
      <c r="I75" s="52">
        <v>3603.0</v>
      </c>
      <c r="J75" s="52">
        <v>3397.0</v>
      </c>
      <c r="K75" s="105">
        <v>3186.0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</row>
    <row r="76" ht="15.75" customHeight="1">
      <c r="A76" s="21" t="s">
        <v>388</v>
      </c>
      <c r="B76" s="52">
        <v>1199.0</v>
      </c>
      <c r="C76" s="52">
        <v>404.0</v>
      </c>
      <c r="D76" s="52">
        <v>214.0</v>
      </c>
      <c r="E76" s="52">
        <v>270.0</v>
      </c>
      <c r="F76" s="105">
        <v>311.0</v>
      </c>
      <c r="G76" s="106">
        <v>4138.0</v>
      </c>
      <c r="H76" s="52">
        <v>1536.0</v>
      </c>
      <c r="I76" s="52">
        <v>763.0</v>
      </c>
      <c r="J76" s="52">
        <v>857.0</v>
      </c>
      <c r="K76" s="105">
        <v>982.0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</row>
    <row r="77" ht="15.75" customHeight="1">
      <c r="A77" s="21" t="s">
        <v>389</v>
      </c>
      <c r="B77" s="52">
        <v>7333.0</v>
      </c>
      <c r="C77" s="52">
        <v>2943.0</v>
      </c>
      <c r="D77" s="52">
        <v>1161.0</v>
      </c>
      <c r="E77" s="52">
        <v>1517.0</v>
      </c>
      <c r="F77" s="105">
        <v>1712.0</v>
      </c>
      <c r="G77" s="106">
        <v>26236.0</v>
      </c>
      <c r="H77" s="52">
        <v>13087.0</v>
      </c>
      <c r="I77" s="52">
        <v>4371.0</v>
      </c>
      <c r="J77" s="52">
        <v>4382.0</v>
      </c>
      <c r="K77" s="105">
        <v>4396.0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</row>
    <row r="78" ht="15.75" customHeight="1">
      <c r="A78" s="21" t="s">
        <v>390</v>
      </c>
      <c r="B78" s="52">
        <v>1053.0</v>
      </c>
      <c r="C78" s="52">
        <v>377.0</v>
      </c>
      <c r="D78" s="52">
        <v>176.0</v>
      </c>
      <c r="E78" s="52">
        <v>237.0</v>
      </c>
      <c r="F78" s="105">
        <v>263.0</v>
      </c>
      <c r="G78" s="106">
        <v>3613.0</v>
      </c>
      <c r="H78" s="52">
        <v>1493.0</v>
      </c>
      <c r="I78" s="52">
        <v>632.0</v>
      </c>
      <c r="J78" s="52">
        <v>647.0</v>
      </c>
      <c r="K78" s="105">
        <v>841.0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ht="15.75" customHeight="1">
      <c r="A79" s="21" t="s">
        <v>391</v>
      </c>
      <c r="B79" s="52">
        <v>2835.0</v>
      </c>
      <c r="C79" s="52">
        <v>1267.0</v>
      </c>
      <c r="D79" s="52">
        <v>485.0</v>
      </c>
      <c r="E79" s="52">
        <v>565.0</v>
      </c>
      <c r="F79" s="105">
        <v>518.0</v>
      </c>
      <c r="G79" s="106">
        <v>11509.0</v>
      </c>
      <c r="H79" s="52">
        <v>6483.0</v>
      </c>
      <c r="I79" s="52">
        <v>1698.0</v>
      </c>
      <c r="J79" s="52">
        <v>1772.0</v>
      </c>
      <c r="K79" s="105">
        <v>1556.0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</row>
    <row r="80" ht="15.75" customHeight="1">
      <c r="A80" s="21" t="s">
        <v>392</v>
      </c>
      <c r="B80" s="52">
        <v>1836.0</v>
      </c>
      <c r="C80" s="52">
        <v>486.0</v>
      </c>
      <c r="D80" s="52">
        <v>328.0</v>
      </c>
      <c r="E80" s="52">
        <v>548.0</v>
      </c>
      <c r="F80" s="105">
        <v>474.0</v>
      </c>
      <c r="G80" s="106">
        <v>6949.0</v>
      </c>
      <c r="H80" s="52">
        <v>1997.0</v>
      </c>
      <c r="I80" s="52">
        <v>1473.0</v>
      </c>
      <c r="J80" s="52">
        <v>1988.0</v>
      </c>
      <c r="K80" s="105">
        <v>1491.0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</row>
    <row r="81" ht="15.75" customHeight="1">
      <c r="A81" s="21"/>
      <c r="B81" s="2"/>
      <c r="C81" s="2"/>
      <c r="D81" s="2"/>
      <c r="E81" s="2"/>
      <c r="F81" s="100"/>
      <c r="G81" s="21"/>
      <c r="H81" s="2"/>
      <c r="I81" s="2"/>
      <c r="J81" s="2"/>
      <c r="K81" s="100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15.75" customHeight="1">
      <c r="A82" s="75" t="s">
        <v>29</v>
      </c>
      <c r="B82" s="76">
        <v>35271.0</v>
      </c>
      <c r="C82" s="76">
        <v>13570.0</v>
      </c>
      <c r="D82" s="76">
        <v>5787.0</v>
      </c>
      <c r="E82" s="76">
        <v>7584.0</v>
      </c>
      <c r="F82" s="77">
        <v>8330.0</v>
      </c>
      <c r="G82" s="101">
        <v>145445.0</v>
      </c>
      <c r="H82" s="76">
        <v>75659.0</v>
      </c>
      <c r="I82" s="76">
        <v>24050.0</v>
      </c>
      <c r="J82" s="76">
        <v>23483.0</v>
      </c>
      <c r="K82" s="77">
        <v>22253.0</v>
      </c>
      <c r="L82" s="18"/>
      <c r="M82" s="18"/>
      <c r="N82" s="18"/>
      <c r="O82" s="18"/>
      <c r="P82" s="18"/>
      <c r="Q82" s="18"/>
      <c r="R82" s="18"/>
      <c r="S82" s="20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20"/>
      <c r="AE82" s="18"/>
    </row>
    <row r="83" ht="15.75" customHeight="1">
      <c r="A83" s="45" t="s">
        <v>393</v>
      </c>
      <c r="B83" s="2">
        <v>3184.0</v>
      </c>
      <c r="C83" s="2">
        <v>1340.0</v>
      </c>
      <c r="D83" s="2">
        <v>471.0</v>
      </c>
      <c r="E83" s="2">
        <v>682.0</v>
      </c>
      <c r="F83" s="100">
        <v>691.0</v>
      </c>
      <c r="G83" s="21">
        <v>11382.0</v>
      </c>
      <c r="H83" s="2">
        <v>6020.0</v>
      </c>
      <c r="I83" s="2">
        <v>1757.0</v>
      </c>
      <c r="J83" s="2">
        <v>1919.0</v>
      </c>
      <c r="K83" s="100">
        <v>1686.0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ht="15.75" customHeight="1">
      <c r="A84" s="45" t="s">
        <v>394</v>
      </c>
      <c r="B84" s="2">
        <v>2203.0</v>
      </c>
      <c r="C84" s="2">
        <v>982.0</v>
      </c>
      <c r="D84" s="2">
        <v>326.0</v>
      </c>
      <c r="E84" s="2">
        <v>524.0</v>
      </c>
      <c r="F84" s="100">
        <v>371.0</v>
      </c>
      <c r="G84" s="21">
        <v>6431.0</v>
      </c>
      <c r="H84" s="2">
        <v>3353.0</v>
      </c>
      <c r="I84" s="2">
        <v>982.0</v>
      </c>
      <c r="J84" s="2">
        <v>1242.0</v>
      </c>
      <c r="K84" s="100">
        <v>854.0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15.75" customHeight="1">
      <c r="A85" s="45" t="s">
        <v>395</v>
      </c>
      <c r="B85" s="2">
        <v>4331.0</v>
      </c>
      <c r="C85" s="2">
        <v>1787.0</v>
      </c>
      <c r="D85" s="2">
        <v>743.0</v>
      </c>
      <c r="E85" s="2">
        <v>901.0</v>
      </c>
      <c r="F85" s="100">
        <v>900.0</v>
      </c>
      <c r="G85" s="21">
        <v>12720.0</v>
      </c>
      <c r="H85" s="2">
        <v>6179.0</v>
      </c>
      <c r="I85" s="2">
        <v>2093.0</v>
      </c>
      <c r="J85" s="2">
        <v>2369.0</v>
      </c>
      <c r="K85" s="100">
        <v>2079.0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15.75" customHeight="1">
      <c r="A86" s="45" t="s">
        <v>396</v>
      </c>
      <c r="B86" s="2">
        <v>603.0</v>
      </c>
      <c r="C86" s="2">
        <v>212.0</v>
      </c>
      <c r="D86" s="2">
        <v>109.0</v>
      </c>
      <c r="E86" s="2">
        <v>133.0</v>
      </c>
      <c r="F86" s="100">
        <v>149.0</v>
      </c>
      <c r="G86" s="21">
        <v>1572.0</v>
      </c>
      <c r="H86" s="2">
        <v>625.0</v>
      </c>
      <c r="I86" s="2">
        <v>381.0</v>
      </c>
      <c r="J86" s="2">
        <v>290.0</v>
      </c>
      <c r="K86" s="100">
        <v>276.0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15.75" customHeight="1">
      <c r="A87" s="45" t="s">
        <v>397</v>
      </c>
      <c r="B87" s="2">
        <v>11384.0</v>
      </c>
      <c r="C87" s="2">
        <v>4315.0</v>
      </c>
      <c r="D87" s="2">
        <v>1929.0</v>
      </c>
      <c r="E87" s="2">
        <v>2480.0</v>
      </c>
      <c r="F87" s="100">
        <v>2660.0</v>
      </c>
      <c r="G87" s="21">
        <v>50897.0</v>
      </c>
      <c r="H87" s="2">
        <v>27018.0</v>
      </c>
      <c r="I87" s="2">
        <v>8865.0</v>
      </c>
      <c r="J87" s="2">
        <v>7847.0</v>
      </c>
      <c r="K87" s="100">
        <v>7167.0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15.75" customHeight="1">
      <c r="A88" s="45" t="s">
        <v>398</v>
      </c>
      <c r="B88" s="2">
        <v>13566.0</v>
      </c>
      <c r="C88" s="2">
        <v>4934.0</v>
      </c>
      <c r="D88" s="2">
        <v>2209.0</v>
      </c>
      <c r="E88" s="2">
        <v>2864.0</v>
      </c>
      <c r="F88" s="100">
        <v>3559.0</v>
      </c>
      <c r="G88" s="21">
        <v>62443.0</v>
      </c>
      <c r="H88" s="2">
        <v>32464.0</v>
      </c>
      <c r="I88" s="2">
        <v>9972.0</v>
      </c>
      <c r="J88" s="2">
        <v>9816.0</v>
      </c>
      <c r="K88" s="100">
        <v>10191.0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15.75" customHeight="1">
      <c r="A89" s="21"/>
      <c r="B89" s="2"/>
      <c r="C89" s="2"/>
      <c r="D89" s="2"/>
      <c r="E89" s="2"/>
      <c r="F89" s="100"/>
      <c r="G89" s="21"/>
      <c r="H89" s="2"/>
      <c r="I89" s="2"/>
      <c r="J89" s="2"/>
      <c r="K89" s="100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15.75" customHeight="1">
      <c r="A90" s="75" t="s">
        <v>30</v>
      </c>
      <c r="B90" s="76">
        <v>35390.0</v>
      </c>
      <c r="C90" s="76">
        <v>12824.0</v>
      </c>
      <c r="D90" s="76">
        <v>6377.0</v>
      </c>
      <c r="E90" s="76">
        <v>7601.0</v>
      </c>
      <c r="F90" s="77">
        <v>8588.0</v>
      </c>
      <c r="G90" s="101">
        <v>214185.0</v>
      </c>
      <c r="H90" s="76">
        <v>125007.0</v>
      </c>
      <c r="I90" s="76">
        <v>34548.0</v>
      </c>
      <c r="J90" s="76">
        <v>28218.0</v>
      </c>
      <c r="K90" s="77">
        <v>26412.0</v>
      </c>
      <c r="L90" s="18"/>
      <c r="M90" s="18"/>
      <c r="N90" s="18"/>
      <c r="O90" s="18"/>
      <c r="P90" s="18"/>
      <c r="Q90" s="18"/>
      <c r="R90" s="18"/>
      <c r="S90" s="20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20"/>
      <c r="AE90" s="18"/>
    </row>
    <row r="91" ht="15.75" customHeight="1">
      <c r="A91" s="45" t="s">
        <v>399</v>
      </c>
      <c r="B91" s="22">
        <v>4388.0</v>
      </c>
      <c r="C91" s="22">
        <v>1389.0</v>
      </c>
      <c r="D91" s="22">
        <v>952.0</v>
      </c>
      <c r="E91" s="22">
        <v>1088.0</v>
      </c>
      <c r="F91" s="46">
        <v>959.0</v>
      </c>
      <c r="G91" s="47">
        <v>18368.0</v>
      </c>
      <c r="H91" s="22">
        <v>6645.0</v>
      </c>
      <c r="I91" s="22">
        <v>4672.0</v>
      </c>
      <c r="J91" s="22">
        <v>3829.0</v>
      </c>
      <c r="K91" s="46">
        <v>3222.0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15.75" customHeight="1">
      <c r="A92" s="45" t="s">
        <v>400</v>
      </c>
      <c r="B92" s="22">
        <v>24985.0</v>
      </c>
      <c r="C92" s="22">
        <v>8985.0</v>
      </c>
      <c r="D92" s="22">
        <v>4487.0</v>
      </c>
      <c r="E92" s="22">
        <v>5234.0</v>
      </c>
      <c r="F92" s="46">
        <v>6279.0</v>
      </c>
      <c r="G92" s="47">
        <v>170337.0</v>
      </c>
      <c r="H92" s="22">
        <v>104693.0</v>
      </c>
      <c r="I92" s="22">
        <v>26017.0</v>
      </c>
      <c r="J92" s="22">
        <v>20587.0</v>
      </c>
      <c r="K92" s="46">
        <v>19040.0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15.75" customHeight="1">
      <c r="A93" s="45" t="s">
        <v>401</v>
      </c>
      <c r="B93" s="22">
        <v>5491.0</v>
      </c>
      <c r="C93" s="22">
        <v>2304.0</v>
      </c>
      <c r="D93" s="22">
        <v>796.0</v>
      </c>
      <c r="E93" s="22">
        <v>1148.0</v>
      </c>
      <c r="F93" s="46">
        <v>1243.0</v>
      </c>
      <c r="G93" s="47">
        <v>23558.0</v>
      </c>
      <c r="H93" s="22">
        <v>13003.0</v>
      </c>
      <c r="I93" s="22">
        <v>3303.0</v>
      </c>
      <c r="J93" s="22">
        <v>3385.0</v>
      </c>
      <c r="K93" s="46">
        <v>3867.0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15.75" customHeight="1">
      <c r="A94" s="45" t="s">
        <v>402</v>
      </c>
      <c r="B94" s="22">
        <v>526.0</v>
      </c>
      <c r="C94" s="22">
        <v>146.0</v>
      </c>
      <c r="D94" s="22">
        <v>142.0</v>
      </c>
      <c r="E94" s="22">
        <v>131.0</v>
      </c>
      <c r="F94" s="46">
        <v>107.0</v>
      </c>
      <c r="G94" s="47">
        <v>1922.0</v>
      </c>
      <c r="H94" s="22">
        <v>666.0</v>
      </c>
      <c r="I94" s="22">
        <v>556.0</v>
      </c>
      <c r="J94" s="22">
        <v>417.0</v>
      </c>
      <c r="K94" s="46">
        <v>283.0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15.75" customHeight="1">
      <c r="A95" s="45"/>
      <c r="B95" s="22"/>
      <c r="C95" s="22"/>
      <c r="D95" s="22"/>
      <c r="E95" s="22"/>
      <c r="F95" s="46"/>
      <c r="G95" s="47"/>
      <c r="H95" s="22"/>
      <c r="I95" s="22"/>
      <c r="J95" s="22"/>
      <c r="K95" s="46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15.75" customHeight="1">
      <c r="A96" s="75" t="s">
        <v>31</v>
      </c>
      <c r="B96" s="76">
        <v>15751.0</v>
      </c>
      <c r="C96" s="76">
        <v>5936.0</v>
      </c>
      <c r="D96" s="76">
        <v>2708.0</v>
      </c>
      <c r="E96" s="76">
        <v>3528.0</v>
      </c>
      <c r="F96" s="77">
        <v>3579.0</v>
      </c>
      <c r="G96" s="101">
        <v>56045.0</v>
      </c>
      <c r="H96" s="76">
        <v>24503.0</v>
      </c>
      <c r="I96" s="76">
        <v>10124.0</v>
      </c>
      <c r="J96" s="76">
        <v>11166.0</v>
      </c>
      <c r="K96" s="77">
        <v>10252.0</v>
      </c>
      <c r="L96" s="18"/>
      <c r="M96" s="18"/>
      <c r="N96" s="18"/>
      <c r="O96" s="18"/>
      <c r="P96" s="18"/>
      <c r="Q96" s="18"/>
      <c r="R96" s="18"/>
      <c r="S96" s="20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20"/>
      <c r="AE96" s="18"/>
    </row>
    <row r="97" ht="15.75" customHeight="1">
      <c r="A97" s="45" t="s">
        <v>403</v>
      </c>
      <c r="B97" s="52">
        <v>752.0</v>
      </c>
      <c r="C97" s="52">
        <v>314.0</v>
      </c>
      <c r="D97" s="52">
        <v>135.0</v>
      </c>
      <c r="E97" s="52">
        <v>166.0</v>
      </c>
      <c r="F97" s="105">
        <v>137.0</v>
      </c>
      <c r="G97" s="106">
        <v>2270.0</v>
      </c>
      <c r="H97" s="52">
        <v>967.0</v>
      </c>
      <c r="I97" s="52">
        <v>421.0</v>
      </c>
      <c r="J97" s="52">
        <v>461.0</v>
      </c>
      <c r="K97" s="105">
        <v>421.0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</row>
    <row r="98" ht="15.75" customHeight="1">
      <c r="A98" s="45" t="s">
        <v>404</v>
      </c>
      <c r="B98" s="52">
        <v>1106.0</v>
      </c>
      <c r="C98" s="52">
        <v>349.0</v>
      </c>
      <c r="D98" s="52">
        <v>189.0</v>
      </c>
      <c r="E98" s="52">
        <v>324.0</v>
      </c>
      <c r="F98" s="105">
        <v>244.0</v>
      </c>
      <c r="G98" s="106">
        <v>4393.0</v>
      </c>
      <c r="H98" s="52">
        <v>1815.0</v>
      </c>
      <c r="I98" s="52">
        <v>612.0</v>
      </c>
      <c r="J98" s="52">
        <v>1149.0</v>
      </c>
      <c r="K98" s="105">
        <v>817.0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</row>
    <row r="99" ht="15.75" customHeight="1">
      <c r="A99" s="45" t="s">
        <v>405</v>
      </c>
      <c r="B99" s="52">
        <v>6800.0</v>
      </c>
      <c r="C99" s="52">
        <v>2608.0</v>
      </c>
      <c r="D99" s="52">
        <v>1145.0</v>
      </c>
      <c r="E99" s="52">
        <v>1484.0</v>
      </c>
      <c r="F99" s="105">
        <v>1563.0</v>
      </c>
      <c r="G99" s="106">
        <v>26408.0</v>
      </c>
      <c r="H99" s="52">
        <v>11789.0</v>
      </c>
      <c r="I99" s="52">
        <v>4889.0</v>
      </c>
      <c r="J99" s="52">
        <v>4987.0</v>
      </c>
      <c r="K99" s="105">
        <v>4743.0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</row>
    <row r="100" ht="15.75" customHeight="1">
      <c r="A100" s="45" t="s">
        <v>406</v>
      </c>
      <c r="B100" s="52">
        <v>2979.0</v>
      </c>
      <c r="C100" s="52">
        <v>974.0</v>
      </c>
      <c r="D100" s="52">
        <v>610.0</v>
      </c>
      <c r="E100" s="52">
        <v>682.0</v>
      </c>
      <c r="F100" s="105">
        <v>713.0</v>
      </c>
      <c r="G100" s="106">
        <v>9315.0</v>
      </c>
      <c r="H100" s="52">
        <v>3429.0</v>
      </c>
      <c r="I100" s="52">
        <v>1995.0</v>
      </c>
      <c r="J100" s="52">
        <v>1949.0</v>
      </c>
      <c r="K100" s="105">
        <v>1942.0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</row>
    <row r="101" ht="15.75" customHeight="1">
      <c r="A101" s="45" t="s">
        <v>407</v>
      </c>
      <c r="B101" s="52">
        <v>1383.0</v>
      </c>
      <c r="C101" s="52">
        <v>652.0</v>
      </c>
      <c r="D101" s="52">
        <v>200.0</v>
      </c>
      <c r="E101" s="52">
        <v>263.0</v>
      </c>
      <c r="F101" s="105">
        <v>268.0</v>
      </c>
      <c r="G101" s="106">
        <v>6365.0</v>
      </c>
      <c r="H101" s="52">
        <v>3279.0</v>
      </c>
      <c r="I101" s="52">
        <v>1036.0</v>
      </c>
      <c r="J101" s="52">
        <v>1132.0</v>
      </c>
      <c r="K101" s="105">
        <v>918.0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</row>
    <row r="102" ht="15.75" customHeight="1">
      <c r="A102" s="45" t="s">
        <v>408</v>
      </c>
      <c r="B102" s="52">
        <v>2731.0</v>
      </c>
      <c r="C102" s="52">
        <v>1039.0</v>
      </c>
      <c r="D102" s="52">
        <v>429.0</v>
      </c>
      <c r="E102" s="52">
        <v>609.0</v>
      </c>
      <c r="F102" s="105">
        <v>654.0</v>
      </c>
      <c r="G102" s="106">
        <v>7294.0</v>
      </c>
      <c r="H102" s="52">
        <v>3224.0</v>
      </c>
      <c r="I102" s="52">
        <v>1171.0</v>
      </c>
      <c r="J102" s="52">
        <v>1488.0</v>
      </c>
      <c r="K102" s="105">
        <v>1411.0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</row>
    <row r="103" ht="15.75" customHeight="1">
      <c r="A103" s="21"/>
      <c r="B103" s="2"/>
      <c r="C103" s="2"/>
      <c r="D103" s="2"/>
      <c r="E103" s="2"/>
      <c r="F103" s="100"/>
      <c r="G103" s="21"/>
      <c r="H103" s="2"/>
      <c r="I103" s="2"/>
      <c r="J103" s="2"/>
      <c r="K103" s="100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15.75" customHeight="1">
      <c r="A104" s="75" t="s">
        <v>32</v>
      </c>
      <c r="B104" s="76">
        <v>14461.0</v>
      </c>
      <c r="C104" s="76">
        <v>4528.0</v>
      </c>
      <c r="D104" s="76">
        <v>2619.0</v>
      </c>
      <c r="E104" s="76">
        <v>3535.0</v>
      </c>
      <c r="F104" s="77">
        <v>3779.0</v>
      </c>
      <c r="G104" s="101">
        <v>46917.0</v>
      </c>
      <c r="H104" s="76">
        <v>18124.0</v>
      </c>
      <c r="I104" s="76">
        <v>8632.0</v>
      </c>
      <c r="J104" s="76">
        <v>10310.0</v>
      </c>
      <c r="K104" s="77">
        <v>9851.0</v>
      </c>
      <c r="L104" s="18"/>
      <c r="M104" s="18"/>
      <c r="N104" s="18"/>
      <c r="O104" s="18"/>
      <c r="P104" s="18"/>
      <c r="Q104" s="18"/>
      <c r="R104" s="18"/>
      <c r="S104" s="20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20"/>
      <c r="AE104" s="18"/>
    </row>
    <row r="105" ht="15.75" customHeight="1">
      <c r="A105" s="45" t="s">
        <v>409</v>
      </c>
      <c r="B105" s="22">
        <v>4175.0</v>
      </c>
      <c r="C105" s="22">
        <v>1579.0</v>
      </c>
      <c r="D105" s="22">
        <v>667.0</v>
      </c>
      <c r="E105" s="22">
        <v>925.0</v>
      </c>
      <c r="F105" s="46">
        <v>1004.0</v>
      </c>
      <c r="G105" s="47">
        <v>16165.0</v>
      </c>
      <c r="H105" s="22">
        <v>7588.0</v>
      </c>
      <c r="I105" s="22">
        <v>2709.0</v>
      </c>
      <c r="J105" s="22">
        <v>2997.0</v>
      </c>
      <c r="K105" s="46">
        <v>2871.0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15.75" customHeight="1">
      <c r="A106" s="45" t="s">
        <v>410</v>
      </c>
      <c r="B106" s="22">
        <v>4884.0</v>
      </c>
      <c r="C106" s="22">
        <v>1376.0</v>
      </c>
      <c r="D106" s="22">
        <v>955.0</v>
      </c>
      <c r="E106" s="22">
        <v>1224.0</v>
      </c>
      <c r="F106" s="46">
        <v>1329.0</v>
      </c>
      <c r="G106" s="47">
        <v>12612.0</v>
      </c>
      <c r="H106" s="22">
        <v>4520.0</v>
      </c>
      <c r="I106" s="22">
        <v>2441.0</v>
      </c>
      <c r="J106" s="22">
        <v>2755.0</v>
      </c>
      <c r="K106" s="46">
        <v>2896.0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15.75" customHeight="1">
      <c r="A107" s="45" t="s">
        <v>411</v>
      </c>
      <c r="B107" s="22">
        <v>2850.0</v>
      </c>
      <c r="C107" s="22">
        <v>699.0</v>
      </c>
      <c r="D107" s="22">
        <v>594.0</v>
      </c>
      <c r="E107" s="22">
        <v>782.0</v>
      </c>
      <c r="F107" s="46">
        <v>775.0</v>
      </c>
      <c r="G107" s="47">
        <v>9252.0</v>
      </c>
      <c r="H107" s="22">
        <v>2615.0</v>
      </c>
      <c r="I107" s="22">
        <v>2117.0</v>
      </c>
      <c r="J107" s="22">
        <v>2435.0</v>
      </c>
      <c r="K107" s="46">
        <v>2085.0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15.75" customHeight="1">
      <c r="A108" s="45" t="s">
        <v>412</v>
      </c>
      <c r="B108" s="22">
        <v>2552.0</v>
      </c>
      <c r="C108" s="22">
        <v>874.0</v>
      </c>
      <c r="D108" s="22">
        <v>403.0</v>
      </c>
      <c r="E108" s="22">
        <v>604.0</v>
      </c>
      <c r="F108" s="46">
        <v>671.0</v>
      </c>
      <c r="G108" s="47">
        <v>8888.0</v>
      </c>
      <c r="H108" s="22">
        <v>3401.0</v>
      </c>
      <c r="I108" s="22">
        <v>1365.0</v>
      </c>
      <c r="J108" s="22">
        <v>2123.0</v>
      </c>
      <c r="K108" s="46">
        <v>1999.0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15.75" customHeight="1">
      <c r="A109" s="45"/>
      <c r="B109" s="22"/>
      <c r="C109" s="22"/>
      <c r="D109" s="22"/>
      <c r="E109" s="22"/>
      <c r="F109" s="46"/>
      <c r="G109" s="47"/>
      <c r="H109" s="22"/>
      <c r="I109" s="22"/>
      <c r="J109" s="22"/>
      <c r="K109" s="46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15.75" customHeight="1">
      <c r="A110" s="75" t="s">
        <v>33</v>
      </c>
      <c r="B110" s="76">
        <v>14992.0</v>
      </c>
      <c r="C110" s="76">
        <v>5477.0</v>
      </c>
      <c r="D110" s="76">
        <v>2780.0</v>
      </c>
      <c r="E110" s="76">
        <v>3595.0</v>
      </c>
      <c r="F110" s="77">
        <v>3140.0</v>
      </c>
      <c r="G110" s="101">
        <v>63658.0</v>
      </c>
      <c r="H110" s="76">
        <v>31518.0</v>
      </c>
      <c r="I110" s="76">
        <v>11144.0</v>
      </c>
      <c r="J110" s="76">
        <v>12159.0</v>
      </c>
      <c r="K110" s="77">
        <v>8837.0</v>
      </c>
      <c r="L110" s="18"/>
      <c r="M110" s="18"/>
      <c r="N110" s="18"/>
      <c r="O110" s="18"/>
      <c r="P110" s="18"/>
      <c r="Q110" s="18"/>
      <c r="R110" s="18"/>
      <c r="S110" s="20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20"/>
      <c r="AE110" s="18"/>
    </row>
    <row r="111" ht="15.75" customHeight="1">
      <c r="A111" s="45" t="s">
        <v>413</v>
      </c>
      <c r="B111" s="22">
        <v>4183.0</v>
      </c>
      <c r="C111" s="22">
        <v>1471.0</v>
      </c>
      <c r="D111" s="22">
        <v>675.0</v>
      </c>
      <c r="E111" s="22">
        <v>1075.0</v>
      </c>
      <c r="F111" s="46">
        <v>962.0</v>
      </c>
      <c r="G111" s="47">
        <v>12824.0</v>
      </c>
      <c r="H111" s="22">
        <v>5674.0</v>
      </c>
      <c r="I111" s="22">
        <v>1971.0</v>
      </c>
      <c r="J111" s="22">
        <v>2875.0</v>
      </c>
      <c r="K111" s="46">
        <v>2304.0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15.75" customHeight="1">
      <c r="A112" s="45" t="s">
        <v>414</v>
      </c>
      <c r="B112" s="22">
        <v>221.0</v>
      </c>
      <c r="C112" s="22">
        <v>48.0</v>
      </c>
      <c r="D112" s="22">
        <v>73.0</v>
      </c>
      <c r="E112" s="22">
        <v>61.0</v>
      </c>
      <c r="F112" s="46">
        <v>39.0</v>
      </c>
      <c r="G112" s="47">
        <v>760.0</v>
      </c>
      <c r="H112" s="22">
        <v>242.0</v>
      </c>
      <c r="I112" s="22">
        <v>220.0</v>
      </c>
      <c r="J112" s="22">
        <v>191.0</v>
      </c>
      <c r="K112" s="46">
        <v>107.0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15.75" customHeight="1">
      <c r="A113" s="45" t="s">
        <v>415</v>
      </c>
      <c r="B113" s="22">
        <v>1387.0</v>
      </c>
      <c r="C113" s="22">
        <v>584.0</v>
      </c>
      <c r="D113" s="22">
        <v>284.0</v>
      </c>
      <c r="E113" s="22">
        <v>312.0</v>
      </c>
      <c r="F113" s="46">
        <v>207.0</v>
      </c>
      <c r="G113" s="47">
        <v>6687.0</v>
      </c>
      <c r="H113" s="22">
        <v>3333.0</v>
      </c>
      <c r="I113" s="22">
        <v>1231.0</v>
      </c>
      <c r="J113" s="22">
        <v>1055.0</v>
      </c>
      <c r="K113" s="46">
        <v>1068.0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15.75" customHeight="1">
      <c r="A114" s="45" t="s">
        <v>416</v>
      </c>
      <c r="B114" s="22">
        <v>1940.0</v>
      </c>
      <c r="C114" s="22">
        <v>647.0</v>
      </c>
      <c r="D114" s="22">
        <v>360.0</v>
      </c>
      <c r="E114" s="22">
        <v>521.0</v>
      </c>
      <c r="F114" s="46">
        <v>412.0</v>
      </c>
      <c r="G114" s="47">
        <v>8122.0</v>
      </c>
      <c r="H114" s="22">
        <v>3435.0</v>
      </c>
      <c r="I114" s="22">
        <v>1455.0</v>
      </c>
      <c r="J114" s="22">
        <v>1838.0</v>
      </c>
      <c r="K114" s="46">
        <v>1394.0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15.75" customHeight="1">
      <c r="A115" s="45" t="s">
        <v>417</v>
      </c>
      <c r="B115" s="22">
        <v>7261.0</v>
      </c>
      <c r="C115" s="22">
        <v>2727.0</v>
      </c>
      <c r="D115" s="22">
        <v>1388.0</v>
      </c>
      <c r="E115" s="22">
        <v>1626.0</v>
      </c>
      <c r="F115" s="46">
        <v>1520.0</v>
      </c>
      <c r="G115" s="47">
        <v>35265.0</v>
      </c>
      <c r="H115" s="22">
        <v>18834.0</v>
      </c>
      <c r="I115" s="22">
        <v>6267.0</v>
      </c>
      <c r="J115" s="22">
        <v>6200.0</v>
      </c>
      <c r="K115" s="46">
        <v>3964.0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15.75" customHeight="1">
      <c r="A116" s="45"/>
      <c r="B116" s="22"/>
      <c r="C116" s="22"/>
      <c r="D116" s="22"/>
      <c r="E116" s="22"/>
      <c r="F116" s="46"/>
      <c r="G116" s="47"/>
      <c r="H116" s="22"/>
      <c r="I116" s="22"/>
      <c r="J116" s="22"/>
      <c r="K116" s="46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15.75" customHeight="1">
      <c r="A117" s="75" t="s">
        <v>34</v>
      </c>
      <c r="B117" s="76">
        <v>27589.0</v>
      </c>
      <c r="C117" s="76">
        <v>7568.0</v>
      </c>
      <c r="D117" s="76">
        <v>5101.0</v>
      </c>
      <c r="E117" s="76">
        <v>7222.0</v>
      </c>
      <c r="F117" s="77">
        <v>7698.0</v>
      </c>
      <c r="G117" s="101">
        <v>114558.0</v>
      </c>
      <c r="H117" s="76">
        <v>49085.0</v>
      </c>
      <c r="I117" s="76">
        <v>21827.0</v>
      </c>
      <c r="J117" s="76">
        <v>22783.0</v>
      </c>
      <c r="K117" s="77">
        <v>20863.0</v>
      </c>
      <c r="L117" s="18"/>
      <c r="M117" s="18"/>
      <c r="N117" s="18"/>
      <c r="O117" s="18"/>
      <c r="P117" s="18"/>
      <c r="Q117" s="18"/>
      <c r="R117" s="18"/>
      <c r="S117" s="20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20"/>
      <c r="AE117" s="18"/>
    </row>
    <row r="118" ht="15.75" customHeight="1">
      <c r="A118" s="45" t="s">
        <v>418</v>
      </c>
      <c r="B118" s="22">
        <v>3428.0</v>
      </c>
      <c r="C118" s="22">
        <v>889.0</v>
      </c>
      <c r="D118" s="22">
        <v>738.0</v>
      </c>
      <c r="E118" s="22">
        <v>964.0</v>
      </c>
      <c r="F118" s="46">
        <v>837.0</v>
      </c>
      <c r="G118" s="47">
        <v>9672.0</v>
      </c>
      <c r="H118" s="22">
        <v>3295.0</v>
      </c>
      <c r="I118" s="22">
        <v>1971.0</v>
      </c>
      <c r="J118" s="22">
        <v>2489.0</v>
      </c>
      <c r="K118" s="46">
        <v>1917.0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15.75" customHeight="1">
      <c r="A119" s="45" t="s">
        <v>419</v>
      </c>
      <c r="B119" s="22">
        <v>5859.0</v>
      </c>
      <c r="C119" s="22">
        <v>1684.0</v>
      </c>
      <c r="D119" s="22">
        <v>1080.0</v>
      </c>
      <c r="E119" s="22">
        <v>1558.0</v>
      </c>
      <c r="F119" s="46">
        <v>1537.0</v>
      </c>
      <c r="G119" s="47">
        <v>21942.0</v>
      </c>
      <c r="H119" s="22">
        <v>8460.0</v>
      </c>
      <c r="I119" s="22">
        <v>4226.0</v>
      </c>
      <c r="J119" s="22">
        <v>4870.0</v>
      </c>
      <c r="K119" s="46">
        <v>4386.0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15.75" customHeight="1">
      <c r="A120" s="45" t="s">
        <v>420</v>
      </c>
      <c r="B120" s="22">
        <v>16656.0</v>
      </c>
      <c r="C120" s="22">
        <v>4570.0</v>
      </c>
      <c r="D120" s="22">
        <v>2961.0</v>
      </c>
      <c r="E120" s="22">
        <v>4218.0</v>
      </c>
      <c r="F120" s="46">
        <v>4907.0</v>
      </c>
      <c r="G120" s="47">
        <v>77826.0</v>
      </c>
      <c r="H120" s="22">
        <v>35640.0</v>
      </c>
      <c r="I120" s="22">
        <v>14558.0</v>
      </c>
      <c r="J120" s="22">
        <v>14089.0</v>
      </c>
      <c r="K120" s="46">
        <v>13539.0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15.75" customHeight="1">
      <c r="A121" s="45" t="s">
        <v>421</v>
      </c>
      <c r="B121" s="22">
        <v>786.0</v>
      </c>
      <c r="C121" s="22">
        <v>212.0</v>
      </c>
      <c r="D121" s="22">
        <v>165.0</v>
      </c>
      <c r="E121" s="22">
        <v>216.0</v>
      </c>
      <c r="F121" s="46">
        <v>193.0</v>
      </c>
      <c r="G121" s="47">
        <v>2373.0</v>
      </c>
      <c r="H121" s="22">
        <v>925.0</v>
      </c>
      <c r="I121" s="22">
        <v>484.0</v>
      </c>
      <c r="J121" s="22">
        <v>520.0</v>
      </c>
      <c r="K121" s="46">
        <v>444.0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15.75" customHeight="1">
      <c r="A122" s="45" t="s">
        <v>422</v>
      </c>
      <c r="B122" s="22">
        <v>860.0</v>
      </c>
      <c r="C122" s="22">
        <v>213.0</v>
      </c>
      <c r="D122" s="22">
        <v>157.0</v>
      </c>
      <c r="E122" s="22">
        <v>266.0</v>
      </c>
      <c r="F122" s="46">
        <v>224.0</v>
      </c>
      <c r="G122" s="47">
        <v>2745.0</v>
      </c>
      <c r="H122" s="22">
        <v>765.0</v>
      </c>
      <c r="I122" s="22">
        <v>588.0</v>
      </c>
      <c r="J122" s="22">
        <v>815.0</v>
      </c>
      <c r="K122" s="46">
        <v>577.0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15.75" customHeight="1">
      <c r="A123" s="45"/>
      <c r="B123" s="22"/>
      <c r="C123" s="22"/>
      <c r="D123" s="22"/>
      <c r="E123" s="22"/>
      <c r="F123" s="46"/>
      <c r="G123" s="47"/>
      <c r="H123" s="22"/>
      <c r="I123" s="22"/>
      <c r="J123" s="22"/>
      <c r="K123" s="46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15.75" customHeight="1">
      <c r="A124" s="75" t="s">
        <v>35</v>
      </c>
      <c r="B124" s="76">
        <v>20566.0</v>
      </c>
      <c r="C124" s="76">
        <v>5629.0</v>
      </c>
      <c r="D124" s="76">
        <v>3469.0</v>
      </c>
      <c r="E124" s="76">
        <v>5580.0</v>
      </c>
      <c r="F124" s="77">
        <v>5888.0</v>
      </c>
      <c r="G124" s="101">
        <v>73280.0</v>
      </c>
      <c r="H124" s="76">
        <v>26374.0</v>
      </c>
      <c r="I124" s="76">
        <v>12883.0</v>
      </c>
      <c r="J124" s="76">
        <v>18027.0</v>
      </c>
      <c r="K124" s="77">
        <v>15996.0</v>
      </c>
      <c r="L124" s="18"/>
      <c r="M124" s="18"/>
      <c r="N124" s="18"/>
      <c r="O124" s="18"/>
      <c r="P124" s="18"/>
      <c r="Q124" s="18"/>
      <c r="R124" s="18"/>
      <c r="S124" s="20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20"/>
      <c r="AE124" s="18"/>
    </row>
    <row r="125" ht="15.75" customHeight="1">
      <c r="A125" s="45" t="s">
        <v>423</v>
      </c>
      <c r="B125" s="22">
        <v>7045.0</v>
      </c>
      <c r="C125" s="22">
        <v>1895.0</v>
      </c>
      <c r="D125" s="22">
        <v>1136.0</v>
      </c>
      <c r="E125" s="22">
        <v>2016.0</v>
      </c>
      <c r="F125" s="46">
        <v>1998.0</v>
      </c>
      <c r="G125" s="47">
        <v>20864.0</v>
      </c>
      <c r="H125" s="22">
        <v>6640.0</v>
      </c>
      <c r="I125" s="22">
        <v>3963.0</v>
      </c>
      <c r="J125" s="22">
        <v>5369.0</v>
      </c>
      <c r="K125" s="46">
        <v>4892.0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15.75" customHeight="1">
      <c r="A126" s="45" t="s">
        <v>424</v>
      </c>
      <c r="B126" s="22">
        <v>6835.0</v>
      </c>
      <c r="C126" s="22">
        <v>1913.0</v>
      </c>
      <c r="D126" s="22">
        <v>1112.0</v>
      </c>
      <c r="E126" s="22">
        <v>1771.0</v>
      </c>
      <c r="F126" s="46">
        <v>2039.0</v>
      </c>
      <c r="G126" s="47">
        <v>26373.0</v>
      </c>
      <c r="H126" s="22">
        <v>10582.0</v>
      </c>
      <c r="I126" s="22">
        <v>4429.0</v>
      </c>
      <c r="J126" s="22">
        <v>5829.0</v>
      </c>
      <c r="K126" s="46">
        <v>5533.0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15.75" customHeight="1">
      <c r="A127" s="45" t="s">
        <v>425</v>
      </c>
      <c r="B127" s="22">
        <v>4103.0</v>
      </c>
      <c r="C127" s="22">
        <v>1067.0</v>
      </c>
      <c r="D127" s="22">
        <v>723.0</v>
      </c>
      <c r="E127" s="22">
        <v>1100.0</v>
      </c>
      <c r="F127" s="46">
        <v>1213.0</v>
      </c>
      <c r="G127" s="47">
        <v>15052.0</v>
      </c>
      <c r="H127" s="22">
        <v>5282.0</v>
      </c>
      <c r="I127" s="22">
        <v>2694.0</v>
      </c>
      <c r="J127" s="22">
        <v>3541.0</v>
      </c>
      <c r="K127" s="46">
        <v>3535.0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15.75" customHeight="1">
      <c r="A128" s="45" t="s">
        <v>426</v>
      </c>
      <c r="B128" s="22">
        <v>2583.0</v>
      </c>
      <c r="C128" s="22">
        <v>754.0</v>
      </c>
      <c r="D128" s="22">
        <v>498.0</v>
      </c>
      <c r="E128" s="22">
        <v>693.0</v>
      </c>
      <c r="F128" s="46">
        <v>638.0</v>
      </c>
      <c r="G128" s="47">
        <v>10991.0</v>
      </c>
      <c r="H128" s="22">
        <v>3870.0</v>
      </c>
      <c r="I128" s="22">
        <v>1797.0</v>
      </c>
      <c r="J128" s="22">
        <v>3288.0</v>
      </c>
      <c r="K128" s="46">
        <v>2036.0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15.75" customHeight="1">
      <c r="A129" s="45"/>
      <c r="B129" s="22"/>
      <c r="C129" s="22"/>
      <c r="D129" s="22"/>
      <c r="E129" s="22"/>
      <c r="F129" s="46"/>
      <c r="G129" s="47"/>
      <c r="H129" s="22"/>
      <c r="I129" s="22"/>
      <c r="J129" s="22"/>
      <c r="K129" s="46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15.75" customHeight="1">
      <c r="A130" s="75" t="s">
        <v>36</v>
      </c>
      <c r="B130" s="76">
        <v>9585.0</v>
      </c>
      <c r="C130" s="76">
        <v>2924.0</v>
      </c>
      <c r="D130" s="76">
        <v>1843.0</v>
      </c>
      <c r="E130" s="76">
        <v>2209.0</v>
      </c>
      <c r="F130" s="77">
        <v>2609.0</v>
      </c>
      <c r="G130" s="101">
        <v>36830.0</v>
      </c>
      <c r="H130" s="76">
        <v>14912.0</v>
      </c>
      <c r="I130" s="76">
        <v>6884.0</v>
      </c>
      <c r="J130" s="76">
        <v>7786.0</v>
      </c>
      <c r="K130" s="77">
        <v>7248.0</v>
      </c>
      <c r="L130" s="18"/>
      <c r="M130" s="18"/>
      <c r="N130" s="18"/>
      <c r="O130" s="18"/>
      <c r="P130" s="18"/>
      <c r="Q130" s="18"/>
      <c r="R130" s="18"/>
      <c r="S130" s="20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20"/>
      <c r="AE130" s="18"/>
    </row>
    <row r="131" ht="15.75" customHeight="1">
      <c r="A131" s="45" t="s">
        <v>427</v>
      </c>
      <c r="B131" s="22">
        <v>3183.0</v>
      </c>
      <c r="C131" s="22">
        <v>1138.0</v>
      </c>
      <c r="D131" s="22">
        <v>547.0</v>
      </c>
      <c r="E131" s="22">
        <v>670.0</v>
      </c>
      <c r="F131" s="46">
        <v>828.0</v>
      </c>
      <c r="G131" s="47">
        <v>14118.0</v>
      </c>
      <c r="H131" s="22">
        <v>6760.0</v>
      </c>
      <c r="I131" s="22">
        <v>2188.0</v>
      </c>
      <c r="J131" s="22">
        <v>2622.0</v>
      </c>
      <c r="K131" s="46">
        <v>2548.0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15.75" customHeight="1">
      <c r="A132" s="45" t="s">
        <v>428</v>
      </c>
      <c r="B132" s="22">
        <v>2007.0</v>
      </c>
      <c r="C132" s="22">
        <v>482.0</v>
      </c>
      <c r="D132" s="22">
        <v>405.0</v>
      </c>
      <c r="E132" s="22">
        <v>517.0</v>
      </c>
      <c r="F132" s="46">
        <v>603.0</v>
      </c>
      <c r="G132" s="47">
        <v>6408.0</v>
      </c>
      <c r="H132" s="22">
        <v>1845.0</v>
      </c>
      <c r="I132" s="22">
        <v>1387.0</v>
      </c>
      <c r="J132" s="22">
        <v>1659.0</v>
      </c>
      <c r="K132" s="46">
        <v>1517.0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15.75" customHeight="1">
      <c r="A133" s="45" t="s">
        <v>429</v>
      </c>
      <c r="B133" s="22">
        <v>576.0</v>
      </c>
      <c r="C133" s="22">
        <v>172.0</v>
      </c>
      <c r="D133" s="22">
        <v>158.0</v>
      </c>
      <c r="E133" s="22">
        <v>140.0</v>
      </c>
      <c r="F133" s="46">
        <v>106.0</v>
      </c>
      <c r="G133" s="47">
        <v>1311.0</v>
      </c>
      <c r="H133" s="22">
        <v>537.0</v>
      </c>
      <c r="I133" s="22">
        <v>295.0</v>
      </c>
      <c r="J133" s="22">
        <v>293.0</v>
      </c>
      <c r="K133" s="46">
        <v>186.0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15.75" customHeight="1">
      <c r="A134" s="45" t="s">
        <v>430</v>
      </c>
      <c r="B134" s="22">
        <v>2646.0</v>
      </c>
      <c r="C134" s="22">
        <v>773.0</v>
      </c>
      <c r="D134" s="22">
        <v>512.0</v>
      </c>
      <c r="E134" s="22">
        <v>618.0</v>
      </c>
      <c r="F134" s="46">
        <v>743.0</v>
      </c>
      <c r="G134" s="47">
        <v>10917.0</v>
      </c>
      <c r="H134" s="22">
        <v>4370.0</v>
      </c>
      <c r="I134" s="22">
        <v>2151.0</v>
      </c>
      <c r="J134" s="22">
        <v>2366.0</v>
      </c>
      <c r="K134" s="46">
        <v>2030.0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15.75" customHeight="1">
      <c r="A135" s="45" t="s">
        <v>431</v>
      </c>
      <c r="B135" s="22">
        <v>1173.0</v>
      </c>
      <c r="C135" s="22">
        <v>359.0</v>
      </c>
      <c r="D135" s="22">
        <v>221.0</v>
      </c>
      <c r="E135" s="22">
        <v>264.0</v>
      </c>
      <c r="F135" s="46">
        <v>329.0</v>
      </c>
      <c r="G135" s="47">
        <v>4076.0</v>
      </c>
      <c r="H135" s="22">
        <v>1400.0</v>
      </c>
      <c r="I135" s="22">
        <v>863.0</v>
      </c>
      <c r="J135" s="22">
        <v>846.0</v>
      </c>
      <c r="K135" s="46">
        <v>967.0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15.75" customHeight="1">
      <c r="A136" s="45"/>
      <c r="B136" s="22"/>
      <c r="C136" s="22"/>
      <c r="D136" s="22"/>
      <c r="E136" s="22"/>
      <c r="F136" s="46"/>
      <c r="G136" s="47"/>
      <c r="H136" s="22"/>
      <c r="I136" s="22"/>
      <c r="J136" s="22"/>
      <c r="K136" s="46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15.75" customHeight="1">
      <c r="A137" s="75" t="s">
        <v>37</v>
      </c>
      <c r="B137" s="76">
        <v>2263.0</v>
      </c>
      <c r="C137" s="76">
        <v>887.0</v>
      </c>
      <c r="D137" s="76">
        <v>491.0</v>
      </c>
      <c r="E137" s="76">
        <v>504.0</v>
      </c>
      <c r="F137" s="77">
        <v>381.0</v>
      </c>
      <c r="G137" s="101">
        <v>7226.0</v>
      </c>
      <c r="H137" s="76">
        <v>3107.0</v>
      </c>
      <c r="I137" s="76">
        <v>1539.0</v>
      </c>
      <c r="J137" s="76">
        <v>1421.0</v>
      </c>
      <c r="K137" s="77">
        <v>1159.0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 ht="15.75" customHeight="1">
      <c r="A138" s="45" t="s">
        <v>432</v>
      </c>
      <c r="B138" s="22">
        <v>342.0</v>
      </c>
      <c r="C138" s="22">
        <v>114.0</v>
      </c>
      <c r="D138" s="22">
        <v>160.0</v>
      </c>
      <c r="E138" s="22">
        <v>41.0</v>
      </c>
      <c r="F138" s="46">
        <v>27.0</v>
      </c>
      <c r="G138" s="47">
        <v>956.0</v>
      </c>
      <c r="H138" s="22">
        <v>356.0</v>
      </c>
      <c r="I138" s="22">
        <v>433.0</v>
      </c>
      <c r="J138" s="22">
        <v>98.0</v>
      </c>
      <c r="K138" s="46">
        <v>69.0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15.75" customHeight="1">
      <c r="A139" s="45" t="s">
        <v>433</v>
      </c>
      <c r="B139" s="22">
        <v>666.0</v>
      </c>
      <c r="C139" s="22">
        <v>254.0</v>
      </c>
      <c r="D139" s="22">
        <v>106.0</v>
      </c>
      <c r="E139" s="22">
        <v>149.0</v>
      </c>
      <c r="F139" s="46">
        <v>157.0</v>
      </c>
      <c r="G139" s="47">
        <v>2065.0</v>
      </c>
      <c r="H139" s="22">
        <v>815.0</v>
      </c>
      <c r="I139" s="22">
        <v>419.0</v>
      </c>
      <c r="J139" s="22">
        <v>383.0</v>
      </c>
      <c r="K139" s="46">
        <v>448.0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15.75" customHeight="1">
      <c r="A140" s="45" t="s">
        <v>434</v>
      </c>
      <c r="B140" s="22">
        <v>857.0</v>
      </c>
      <c r="C140" s="22">
        <v>275.0</v>
      </c>
      <c r="D140" s="22">
        <v>171.0</v>
      </c>
      <c r="E140" s="22">
        <v>260.0</v>
      </c>
      <c r="F140" s="46">
        <v>151.0</v>
      </c>
      <c r="G140" s="47">
        <v>2806.0</v>
      </c>
      <c r="H140" s="22">
        <v>1082.0</v>
      </c>
      <c r="I140" s="22">
        <v>501.0</v>
      </c>
      <c r="J140" s="22">
        <v>724.0</v>
      </c>
      <c r="K140" s="46">
        <v>499.0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15.75" customHeight="1">
      <c r="A141" s="45" t="s">
        <v>435</v>
      </c>
      <c r="B141" s="22">
        <v>218.0</v>
      </c>
      <c r="C141" s="22">
        <v>132.0</v>
      </c>
      <c r="D141" s="22">
        <v>26.0</v>
      </c>
      <c r="E141" s="22">
        <v>36.0</v>
      </c>
      <c r="F141" s="46">
        <v>24.0</v>
      </c>
      <c r="G141" s="47">
        <v>514.0</v>
      </c>
      <c r="H141" s="22">
        <v>290.0</v>
      </c>
      <c r="I141" s="22">
        <v>67.0</v>
      </c>
      <c r="J141" s="22">
        <v>97.0</v>
      </c>
      <c r="K141" s="46">
        <v>60.0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15.75" customHeight="1">
      <c r="A142" s="80" t="s">
        <v>436</v>
      </c>
      <c r="B142" s="49">
        <v>180.0</v>
      </c>
      <c r="C142" s="49">
        <v>112.0</v>
      </c>
      <c r="D142" s="49">
        <v>28.0</v>
      </c>
      <c r="E142" s="49">
        <v>18.0</v>
      </c>
      <c r="F142" s="50">
        <v>22.0</v>
      </c>
      <c r="G142" s="51">
        <v>885.0</v>
      </c>
      <c r="H142" s="49">
        <v>564.0</v>
      </c>
      <c r="I142" s="49">
        <v>119.0</v>
      </c>
      <c r="J142" s="49">
        <v>119.0</v>
      </c>
      <c r="K142" s="50">
        <v>83.0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15.75" customHeight="1">
      <c r="A143" s="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15.75" customHeight="1">
      <c r="A144" s="2" t="s">
        <v>96</v>
      </c>
      <c r="B144" s="2"/>
      <c r="C144" s="52"/>
      <c r="D144" s="52"/>
      <c r="E144" s="5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15.75" customHeight="1">
      <c r="A145" s="53" t="s">
        <v>97</v>
      </c>
      <c r="B145" s="2"/>
      <c r="C145" s="52"/>
      <c r="D145" s="52"/>
      <c r="E145" s="5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mergeCells count="7">
    <mergeCell ref="A3:A6"/>
    <mergeCell ref="B3:F3"/>
    <mergeCell ref="G3:K3"/>
    <mergeCell ref="B4:B5"/>
    <mergeCell ref="C4:F4"/>
    <mergeCell ref="G4:G5"/>
    <mergeCell ref="H4:K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37.29"/>
    <col customWidth="1" min="2" max="6" width="21.71"/>
    <col customWidth="1" min="7" max="26" width="8.71"/>
  </cols>
  <sheetData>
    <row r="1">
      <c r="A1" s="2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4.5" customHeight="1">
      <c r="A3" s="25" t="s">
        <v>10</v>
      </c>
      <c r="B3" s="110" t="s">
        <v>447</v>
      </c>
      <c r="C3" s="8"/>
      <c r="D3" s="8"/>
      <c r="E3" s="8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10"/>
      <c r="B4" s="111" t="s">
        <v>331</v>
      </c>
      <c r="C4" s="110" t="s">
        <v>332</v>
      </c>
      <c r="D4" s="8"/>
      <c r="E4" s="8"/>
      <c r="F4" s="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/>
      <c r="B5" s="12"/>
      <c r="C5" s="112" t="s">
        <v>333</v>
      </c>
      <c r="D5" s="112" t="s">
        <v>334</v>
      </c>
      <c r="E5" s="112" t="s">
        <v>335</v>
      </c>
      <c r="F5" s="112" t="s">
        <v>336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2"/>
      <c r="B6" s="31" t="s">
        <v>14</v>
      </c>
      <c r="C6" s="31" t="s">
        <v>15</v>
      </c>
      <c r="D6" s="31" t="s">
        <v>16</v>
      </c>
      <c r="E6" s="31" t="s">
        <v>17</v>
      </c>
      <c r="F6" s="31" t="s">
        <v>18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1"/>
      <c r="B7" s="2"/>
      <c r="C7" s="2"/>
      <c r="D7" s="2"/>
      <c r="E7" s="2"/>
      <c r="F7" s="11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7" t="s">
        <v>20</v>
      </c>
      <c r="B8" s="18">
        <v>478576.0</v>
      </c>
      <c r="C8" s="18">
        <v>452767.0</v>
      </c>
      <c r="D8" s="18">
        <v>24359.0</v>
      </c>
      <c r="E8" s="18">
        <v>761.0</v>
      </c>
      <c r="F8" s="61">
        <v>689.0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/>
      <c r="B9" s="18"/>
      <c r="C9" s="18"/>
      <c r="D9" s="18"/>
      <c r="E9" s="18"/>
      <c r="F9" s="6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47" t="s">
        <v>21</v>
      </c>
      <c r="B10" s="22">
        <v>90215.0</v>
      </c>
      <c r="C10" s="22">
        <v>82340.0</v>
      </c>
      <c r="D10" s="22">
        <v>7326.0</v>
      </c>
      <c r="E10" s="22">
        <v>263.0</v>
      </c>
      <c r="F10" s="46">
        <v>286.0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47" t="s">
        <v>22</v>
      </c>
      <c r="B11" s="22">
        <v>9456.0</v>
      </c>
      <c r="C11" s="22">
        <v>9195.0</v>
      </c>
      <c r="D11" s="22">
        <v>254.0</v>
      </c>
      <c r="E11" s="22">
        <v>3.0</v>
      </c>
      <c r="F11" s="46">
        <v>4.0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47" t="s">
        <v>23</v>
      </c>
      <c r="B12" s="22">
        <v>25672.0</v>
      </c>
      <c r="C12" s="22">
        <v>24747.0</v>
      </c>
      <c r="D12" s="22">
        <v>900.0</v>
      </c>
      <c r="E12" s="22">
        <v>12.0</v>
      </c>
      <c r="F12" s="46">
        <v>13.0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47" t="s">
        <v>24</v>
      </c>
      <c r="B13" s="22">
        <v>12586.0</v>
      </c>
      <c r="C13" s="22">
        <v>12155.0</v>
      </c>
      <c r="D13" s="22">
        <v>421.0</v>
      </c>
      <c r="E13" s="22">
        <v>10.0</v>
      </c>
      <c r="F13" s="46">
        <v>0.0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47" t="s">
        <v>25</v>
      </c>
      <c r="B14" s="22">
        <v>63470.0</v>
      </c>
      <c r="C14" s="22">
        <v>60570.0</v>
      </c>
      <c r="D14" s="22">
        <v>2751.0</v>
      </c>
      <c r="E14" s="22">
        <v>79.0</v>
      </c>
      <c r="F14" s="46">
        <v>70.0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47" t="s">
        <v>26</v>
      </c>
      <c r="B15" s="22">
        <v>74227.0</v>
      </c>
      <c r="C15" s="22">
        <v>70713.0</v>
      </c>
      <c r="D15" s="22">
        <v>3308.0</v>
      </c>
      <c r="E15" s="22">
        <v>119.0</v>
      </c>
      <c r="F15" s="46">
        <v>87.0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47" t="s">
        <v>27</v>
      </c>
      <c r="B16" s="22">
        <v>8330.0</v>
      </c>
      <c r="C16" s="22">
        <v>8007.0</v>
      </c>
      <c r="D16" s="22">
        <v>313.0</v>
      </c>
      <c r="E16" s="22">
        <v>6.0</v>
      </c>
      <c r="F16" s="46">
        <v>4.0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47" t="s">
        <v>28</v>
      </c>
      <c r="B17" s="22">
        <v>18752.0</v>
      </c>
      <c r="C17" s="22">
        <v>17912.0</v>
      </c>
      <c r="D17" s="22">
        <v>808.0</v>
      </c>
      <c r="E17" s="22">
        <v>21.0</v>
      </c>
      <c r="F17" s="46">
        <v>11.0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47" t="s">
        <v>29</v>
      </c>
      <c r="B18" s="22">
        <v>35271.0</v>
      </c>
      <c r="C18" s="22">
        <v>33644.0</v>
      </c>
      <c r="D18" s="22">
        <v>1520.0</v>
      </c>
      <c r="E18" s="22">
        <v>67.0</v>
      </c>
      <c r="F18" s="46">
        <v>40.0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47" t="s">
        <v>30</v>
      </c>
      <c r="B19" s="22">
        <v>35390.0</v>
      </c>
      <c r="C19" s="22">
        <v>33053.0</v>
      </c>
      <c r="D19" s="22">
        <v>2166.0</v>
      </c>
      <c r="E19" s="22">
        <v>77.0</v>
      </c>
      <c r="F19" s="46">
        <v>94.0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47" t="s">
        <v>31</v>
      </c>
      <c r="B20" s="22">
        <v>15751.0</v>
      </c>
      <c r="C20" s="22">
        <v>15017.0</v>
      </c>
      <c r="D20" s="22">
        <v>723.0</v>
      </c>
      <c r="E20" s="22">
        <v>7.0</v>
      </c>
      <c r="F20" s="46">
        <v>4.0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47" t="s">
        <v>32</v>
      </c>
      <c r="B21" s="22">
        <v>14461.0</v>
      </c>
      <c r="C21" s="22">
        <v>13894.0</v>
      </c>
      <c r="D21" s="22">
        <v>555.0</v>
      </c>
      <c r="E21" s="22">
        <v>8.0</v>
      </c>
      <c r="F21" s="46">
        <v>4.0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47" t="s">
        <v>33</v>
      </c>
      <c r="B22" s="22">
        <v>14992.0</v>
      </c>
      <c r="C22" s="22">
        <v>14126.0</v>
      </c>
      <c r="D22" s="22">
        <v>825.0</v>
      </c>
      <c r="E22" s="22">
        <v>19.0</v>
      </c>
      <c r="F22" s="46">
        <v>22.0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47" t="s">
        <v>34</v>
      </c>
      <c r="B23" s="22">
        <v>27589.0</v>
      </c>
      <c r="C23" s="22">
        <v>26165.0</v>
      </c>
      <c r="D23" s="22">
        <v>1356.0</v>
      </c>
      <c r="E23" s="22">
        <v>38.0</v>
      </c>
      <c r="F23" s="46">
        <v>30.0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47" t="s">
        <v>35</v>
      </c>
      <c r="B24" s="22">
        <v>20566.0</v>
      </c>
      <c r="C24" s="22">
        <v>19891.0</v>
      </c>
      <c r="D24" s="22">
        <v>640.0</v>
      </c>
      <c r="E24" s="22">
        <v>23.0</v>
      </c>
      <c r="F24" s="46">
        <v>12.0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47" t="s">
        <v>36</v>
      </c>
      <c r="B25" s="22">
        <v>9585.0</v>
      </c>
      <c r="C25" s="22">
        <v>9149.0</v>
      </c>
      <c r="D25" s="22">
        <v>419.0</v>
      </c>
      <c r="E25" s="22">
        <v>9.0</v>
      </c>
      <c r="F25" s="46">
        <v>8.0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51" t="s">
        <v>37</v>
      </c>
      <c r="B26" s="49">
        <v>2263.0</v>
      </c>
      <c r="C26" s="49">
        <v>2189.0</v>
      </c>
      <c r="D26" s="49">
        <v>74.0</v>
      </c>
      <c r="E26" s="49">
        <v>0.0</v>
      </c>
      <c r="F26" s="50">
        <v>0.0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96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3" t="s">
        <v>97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3:A6"/>
    <mergeCell ref="B3:F3"/>
    <mergeCell ref="B4:B5"/>
    <mergeCell ref="C4:F4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3.86"/>
    <col customWidth="1" min="2" max="2" width="21.29"/>
    <col customWidth="1" min="3" max="3" width="19.43"/>
    <col customWidth="1" min="4" max="7" width="13.43"/>
    <col customWidth="1" min="8" max="8" width="18.29"/>
    <col customWidth="1" min="9" max="9" width="21.0"/>
    <col customWidth="1" min="10" max="10" width="20.14"/>
    <col customWidth="1" min="11" max="14" width="13.29"/>
    <col customWidth="1" min="15" max="15" width="19.14"/>
    <col customWidth="1" min="16" max="35" width="9.14"/>
  </cols>
  <sheetData>
    <row r="1">
      <c r="A1" s="2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ht="36.75" customHeight="1">
      <c r="A3" s="114" t="s">
        <v>330</v>
      </c>
      <c r="B3" s="114" t="s">
        <v>448</v>
      </c>
      <c r="C3" s="115" t="s">
        <v>449</v>
      </c>
      <c r="D3" s="8"/>
      <c r="E3" s="8"/>
      <c r="F3" s="8"/>
      <c r="G3" s="9"/>
      <c r="H3" s="116" t="s">
        <v>450</v>
      </c>
      <c r="I3" s="117" t="s">
        <v>451</v>
      </c>
      <c r="J3" s="118" t="s">
        <v>452</v>
      </c>
      <c r="K3" s="8"/>
      <c r="L3" s="8"/>
      <c r="M3" s="8"/>
      <c r="N3" s="9"/>
      <c r="O3" s="117" t="s">
        <v>453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ht="30.0" customHeight="1">
      <c r="A4" s="10"/>
      <c r="B4" s="10"/>
      <c r="C4" s="119" t="s">
        <v>454</v>
      </c>
      <c r="D4" s="115" t="s">
        <v>455</v>
      </c>
      <c r="E4" s="8"/>
      <c r="F4" s="8"/>
      <c r="G4" s="9"/>
      <c r="H4" s="10"/>
      <c r="I4" s="10"/>
      <c r="J4" s="120" t="s">
        <v>452</v>
      </c>
      <c r="K4" s="118" t="s">
        <v>455</v>
      </c>
      <c r="L4" s="8"/>
      <c r="M4" s="8"/>
      <c r="N4" s="9"/>
      <c r="O4" s="1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ht="27.75" customHeight="1">
      <c r="A5" s="10"/>
      <c r="B5" s="12"/>
      <c r="C5" s="12"/>
      <c r="D5" s="121" t="s">
        <v>443</v>
      </c>
      <c r="E5" s="121" t="s">
        <v>444</v>
      </c>
      <c r="F5" s="121" t="s">
        <v>445</v>
      </c>
      <c r="G5" s="121" t="s">
        <v>446</v>
      </c>
      <c r="H5" s="12"/>
      <c r="I5" s="12"/>
      <c r="J5" s="12"/>
      <c r="K5" s="122" t="s">
        <v>443</v>
      </c>
      <c r="L5" s="122" t="s">
        <v>444</v>
      </c>
      <c r="M5" s="122" t="s">
        <v>445</v>
      </c>
      <c r="N5" s="122" t="s">
        <v>446</v>
      </c>
      <c r="O5" s="1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ht="12.75" customHeight="1">
      <c r="A6" s="12"/>
      <c r="B6" s="31" t="s">
        <v>14</v>
      </c>
      <c r="C6" s="31" t="s">
        <v>15</v>
      </c>
      <c r="D6" s="31" t="s">
        <v>16</v>
      </c>
      <c r="E6" s="31" t="s">
        <v>17</v>
      </c>
      <c r="F6" s="31" t="s">
        <v>18</v>
      </c>
      <c r="G6" s="31" t="s">
        <v>19</v>
      </c>
      <c r="H6" s="31" t="s">
        <v>64</v>
      </c>
      <c r="I6" s="32" t="s">
        <v>65</v>
      </c>
      <c r="J6" s="32" t="s">
        <v>66</v>
      </c>
      <c r="K6" s="32" t="s">
        <v>67</v>
      </c>
      <c r="L6" s="32" t="s">
        <v>68</v>
      </c>
      <c r="M6" s="32" t="s">
        <v>69</v>
      </c>
      <c r="N6" s="32" t="s">
        <v>70</v>
      </c>
      <c r="O6" s="32" t="s">
        <v>71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>
      <c r="A7" s="17"/>
      <c r="B7" s="18"/>
      <c r="C7" s="20"/>
      <c r="D7" s="20"/>
      <c r="E7" s="20"/>
      <c r="F7" s="123"/>
      <c r="G7" s="20"/>
      <c r="H7" s="124"/>
      <c r="I7" s="125"/>
      <c r="J7" s="126"/>
      <c r="K7" s="126"/>
      <c r="L7" s="126"/>
      <c r="M7" s="126"/>
      <c r="N7" s="126"/>
      <c r="O7" s="127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>
      <c r="A8" s="70" t="s">
        <v>20</v>
      </c>
      <c r="B8" s="71">
        <v>316678.0</v>
      </c>
      <c r="C8" s="71">
        <v>259707.0</v>
      </c>
      <c r="D8" s="71">
        <v>31627.0</v>
      </c>
      <c r="E8" s="71">
        <v>89237.0</v>
      </c>
      <c r="F8" s="71">
        <v>124699.0</v>
      </c>
      <c r="G8" s="71">
        <v>14144.0</v>
      </c>
      <c r="H8" s="71">
        <v>56971.0</v>
      </c>
      <c r="I8" s="98">
        <v>1467328.0</v>
      </c>
      <c r="J8" s="71">
        <v>1051820.0</v>
      </c>
      <c r="K8" s="71">
        <v>138178.0</v>
      </c>
      <c r="L8" s="71">
        <v>348196.0</v>
      </c>
      <c r="M8" s="71">
        <v>499375.0</v>
      </c>
      <c r="N8" s="71">
        <v>66071.0</v>
      </c>
      <c r="O8" s="72">
        <v>415508.0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>
      <c r="A9" s="21"/>
      <c r="B9" s="22"/>
      <c r="C9" s="22"/>
      <c r="D9" s="22"/>
      <c r="E9" s="22"/>
      <c r="F9" s="22"/>
      <c r="G9" s="22"/>
      <c r="H9" s="22"/>
      <c r="I9" s="47"/>
      <c r="J9" s="22"/>
      <c r="K9" s="22"/>
      <c r="L9" s="22"/>
      <c r="M9" s="22"/>
      <c r="N9" s="22"/>
      <c r="O9" s="46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>
      <c r="A10" s="75" t="s">
        <v>21</v>
      </c>
      <c r="B10" s="76">
        <v>68313.0</v>
      </c>
      <c r="C10" s="76">
        <v>55959.0</v>
      </c>
      <c r="D10" s="76">
        <v>5870.0</v>
      </c>
      <c r="E10" s="76">
        <v>11536.0</v>
      </c>
      <c r="F10" s="76">
        <v>33183.0</v>
      </c>
      <c r="G10" s="76">
        <v>5370.0</v>
      </c>
      <c r="H10" s="76">
        <v>12354.0</v>
      </c>
      <c r="I10" s="101">
        <v>446844.0</v>
      </c>
      <c r="J10" s="76">
        <v>295041.0</v>
      </c>
      <c r="K10" s="76">
        <v>42934.0</v>
      </c>
      <c r="L10" s="76">
        <v>73217.0</v>
      </c>
      <c r="M10" s="76">
        <v>153480.0</v>
      </c>
      <c r="N10" s="76">
        <v>25410.0</v>
      </c>
      <c r="O10" s="77">
        <v>151803.0</v>
      </c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20"/>
      <c r="AB10" s="18"/>
      <c r="AC10" s="18"/>
      <c r="AD10" s="18"/>
      <c r="AE10" s="18"/>
      <c r="AF10" s="18"/>
      <c r="AG10" s="18"/>
      <c r="AH10" s="18"/>
      <c r="AI10" s="18"/>
    </row>
    <row r="11">
      <c r="A11" s="45" t="s">
        <v>337</v>
      </c>
      <c r="B11" s="22">
        <v>14811.0</v>
      </c>
      <c r="C11" s="22">
        <v>13449.0</v>
      </c>
      <c r="D11" s="22">
        <v>995.0</v>
      </c>
      <c r="E11" s="22">
        <v>3066.0</v>
      </c>
      <c r="F11" s="22">
        <v>8788.0</v>
      </c>
      <c r="G11" s="22">
        <v>600.0</v>
      </c>
      <c r="H11" s="22">
        <v>1362.0</v>
      </c>
      <c r="I11" s="47">
        <v>69498.0</v>
      </c>
      <c r="J11" s="22">
        <v>60546.0</v>
      </c>
      <c r="K11" s="22">
        <v>10108.0</v>
      </c>
      <c r="L11" s="22">
        <v>13620.0</v>
      </c>
      <c r="M11" s="22">
        <v>34206.0</v>
      </c>
      <c r="N11" s="22">
        <v>2612.0</v>
      </c>
      <c r="O11" s="46">
        <v>8952.0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>
      <c r="A12" s="45" t="s">
        <v>338</v>
      </c>
      <c r="B12" s="22">
        <v>2645.0</v>
      </c>
      <c r="C12" s="22">
        <v>2022.0</v>
      </c>
      <c r="D12" s="22">
        <v>167.0</v>
      </c>
      <c r="E12" s="22">
        <v>836.0</v>
      </c>
      <c r="F12" s="22">
        <v>883.0</v>
      </c>
      <c r="G12" s="22">
        <v>136.0</v>
      </c>
      <c r="H12" s="22">
        <v>623.0</v>
      </c>
      <c r="I12" s="47">
        <v>31189.0</v>
      </c>
      <c r="J12" s="22">
        <v>16979.0</v>
      </c>
      <c r="K12" s="22">
        <v>1318.0</v>
      </c>
      <c r="L12" s="22">
        <v>6662.0</v>
      </c>
      <c r="M12" s="22">
        <v>7938.0</v>
      </c>
      <c r="N12" s="22">
        <v>1061.0</v>
      </c>
      <c r="O12" s="46">
        <v>14210.0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>
      <c r="A13" s="45" t="s">
        <v>339</v>
      </c>
      <c r="B13" s="22">
        <v>583.0</v>
      </c>
      <c r="C13" s="22">
        <v>289.0</v>
      </c>
      <c r="D13" s="22">
        <v>24.0</v>
      </c>
      <c r="E13" s="22">
        <v>86.0</v>
      </c>
      <c r="F13" s="22">
        <v>160.0</v>
      </c>
      <c r="G13" s="22">
        <v>19.0</v>
      </c>
      <c r="H13" s="22">
        <v>294.0</v>
      </c>
      <c r="I13" s="47">
        <v>7488.0</v>
      </c>
      <c r="J13" s="22">
        <v>1756.0</v>
      </c>
      <c r="K13" s="22">
        <v>108.0</v>
      </c>
      <c r="L13" s="22">
        <v>627.0</v>
      </c>
      <c r="M13" s="22">
        <v>910.0</v>
      </c>
      <c r="N13" s="22">
        <v>111.0</v>
      </c>
      <c r="O13" s="46">
        <v>5732.0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>
      <c r="A14" s="45" t="s">
        <v>340</v>
      </c>
      <c r="B14" s="22">
        <v>1431.0</v>
      </c>
      <c r="C14" s="22">
        <v>896.0</v>
      </c>
      <c r="D14" s="22">
        <v>150.0</v>
      </c>
      <c r="E14" s="22">
        <v>256.0</v>
      </c>
      <c r="F14" s="22">
        <v>448.0</v>
      </c>
      <c r="G14" s="22">
        <v>42.0</v>
      </c>
      <c r="H14" s="22">
        <v>535.0</v>
      </c>
      <c r="I14" s="47">
        <v>7101.0</v>
      </c>
      <c r="J14" s="22">
        <v>3797.0</v>
      </c>
      <c r="K14" s="22">
        <v>553.0</v>
      </c>
      <c r="L14" s="22">
        <v>1652.0</v>
      </c>
      <c r="M14" s="22">
        <v>1379.0</v>
      </c>
      <c r="N14" s="22">
        <v>213.0</v>
      </c>
      <c r="O14" s="46">
        <v>3304.0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>
      <c r="A15" s="45" t="s">
        <v>341</v>
      </c>
      <c r="B15" s="22">
        <v>15915.0</v>
      </c>
      <c r="C15" s="22">
        <v>11729.0</v>
      </c>
      <c r="D15" s="22">
        <v>2000.0</v>
      </c>
      <c r="E15" s="22">
        <v>3659.0</v>
      </c>
      <c r="F15" s="22">
        <v>5430.0</v>
      </c>
      <c r="G15" s="22">
        <v>640.0</v>
      </c>
      <c r="H15" s="22">
        <v>4186.0</v>
      </c>
      <c r="I15" s="47">
        <v>136172.0</v>
      </c>
      <c r="J15" s="22">
        <v>75238.0</v>
      </c>
      <c r="K15" s="22">
        <v>13994.0</v>
      </c>
      <c r="L15" s="22">
        <v>32394.0</v>
      </c>
      <c r="M15" s="22">
        <v>25627.0</v>
      </c>
      <c r="N15" s="22">
        <v>3223.0</v>
      </c>
      <c r="O15" s="46">
        <v>60934.0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>
      <c r="A16" s="45" t="s">
        <v>342</v>
      </c>
      <c r="B16" s="22">
        <v>2936.0</v>
      </c>
      <c r="C16" s="22">
        <v>2263.0</v>
      </c>
      <c r="D16" s="22">
        <v>363.0</v>
      </c>
      <c r="E16" s="22">
        <v>555.0</v>
      </c>
      <c r="F16" s="22">
        <v>1177.0</v>
      </c>
      <c r="G16" s="22">
        <v>168.0</v>
      </c>
      <c r="H16" s="22">
        <v>673.0</v>
      </c>
      <c r="I16" s="47">
        <v>40593.0</v>
      </c>
      <c r="J16" s="22">
        <v>30930.0</v>
      </c>
      <c r="K16" s="22">
        <v>5709.0</v>
      </c>
      <c r="L16" s="22">
        <v>3929.0</v>
      </c>
      <c r="M16" s="22">
        <v>18640.0</v>
      </c>
      <c r="N16" s="22">
        <v>2652.0</v>
      </c>
      <c r="O16" s="46">
        <v>9663.0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>
      <c r="A17" s="45" t="s">
        <v>343</v>
      </c>
      <c r="B17" s="22">
        <v>1895.0</v>
      </c>
      <c r="C17" s="22">
        <v>1637.0</v>
      </c>
      <c r="D17" s="22">
        <v>110.0</v>
      </c>
      <c r="E17" s="22">
        <v>478.0</v>
      </c>
      <c r="F17" s="22">
        <v>934.0</v>
      </c>
      <c r="G17" s="22">
        <v>115.0</v>
      </c>
      <c r="H17" s="22">
        <v>258.0</v>
      </c>
      <c r="I17" s="47">
        <v>12146.0</v>
      </c>
      <c r="J17" s="22">
        <v>9833.0</v>
      </c>
      <c r="K17" s="22">
        <v>468.0</v>
      </c>
      <c r="L17" s="22">
        <v>2441.0</v>
      </c>
      <c r="M17" s="22">
        <v>6188.0</v>
      </c>
      <c r="N17" s="22">
        <v>736.0</v>
      </c>
      <c r="O17" s="46">
        <v>2313.0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>
      <c r="A18" s="45" t="s">
        <v>344</v>
      </c>
      <c r="B18" s="22">
        <v>195.0</v>
      </c>
      <c r="C18" s="22">
        <v>182.0</v>
      </c>
      <c r="D18" s="22">
        <v>5.0</v>
      </c>
      <c r="E18" s="22">
        <v>16.0</v>
      </c>
      <c r="F18" s="22">
        <v>159.0</v>
      </c>
      <c r="G18" s="22">
        <v>2.0</v>
      </c>
      <c r="H18" s="22">
        <v>13.0</v>
      </c>
      <c r="I18" s="47">
        <v>565.0</v>
      </c>
      <c r="J18" s="22">
        <v>523.0</v>
      </c>
      <c r="K18" s="22">
        <v>8.0</v>
      </c>
      <c r="L18" s="22">
        <v>44.0</v>
      </c>
      <c r="M18" s="22">
        <v>459.0</v>
      </c>
      <c r="N18" s="22">
        <v>12.0</v>
      </c>
      <c r="O18" s="46">
        <v>42.0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>
      <c r="A19" s="45" t="s">
        <v>345</v>
      </c>
      <c r="B19" s="22">
        <v>1054.0</v>
      </c>
      <c r="C19" s="22">
        <v>931.0</v>
      </c>
      <c r="D19" s="22">
        <v>99.0</v>
      </c>
      <c r="E19" s="22">
        <v>237.0</v>
      </c>
      <c r="F19" s="22">
        <v>510.0</v>
      </c>
      <c r="G19" s="22">
        <v>85.0</v>
      </c>
      <c r="H19" s="22">
        <v>123.0</v>
      </c>
      <c r="I19" s="47">
        <v>5217.0</v>
      </c>
      <c r="J19" s="22">
        <v>4014.0</v>
      </c>
      <c r="K19" s="22">
        <v>294.0</v>
      </c>
      <c r="L19" s="22">
        <v>1313.0</v>
      </c>
      <c r="M19" s="22">
        <v>2025.0</v>
      </c>
      <c r="N19" s="22">
        <v>382.0</v>
      </c>
      <c r="O19" s="46">
        <v>1203.0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>
      <c r="A20" s="45" t="s">
        <v>346</v>
      </c>
      <c r="B20" s="22">
        <v>7672.0</v>
      </c>
      <c r="C20" s="22">
        <v>6810.0</v>
      </c>
      <c r="D20" s="22">
        <v>337.0</v>
      </c>
      <c r="E20" s="22">
        <v>540.0</v>
      </c>
      <c r="F20" s="22">
        <v>5455.0</v>
      </c>
      <c r="G20" s="22">
        <v>478.0</v>
      </c>
      <c r="H20" s="22">
        <v>862.0</v>
      </c>
      <c r="I20" s="47">
        <v>28600.0</v>
      </c>
      <c r="J20" s="22">
        <v>20077.0</v>
      </c>
      <c r="K20" s="22">
        <v>1102.0</v>
      </c>
      <c r="L20" s="22">
        <v>1685.0</v>
      </c>
      <c r="M20" s="22">
        <v>16014.0</v>
      </c>
      <c r="N20" s="22">
        <v>1276.0</v>
      </c>
      <c r="O20" s="46">
        <v>8523.0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ht="15.75" customHeight="1">
      <c r="A21" s="45" t="s">
        <v>347</v>
      </c>
      <c r="B21" s="22">
        <v>1773.0</v>
      </c>
      <c r="C21" s="22">
        <v>1679.0</v>
      </c>
      <c r="D21" s="22">
        <v>199.0</v>
      </c>
      <c r="E21" s="22">
        <v>21.0</v>
      </c>
      <c r="F21" s="22">
        <v>702.0</v>
      </c>
      <c r="G21" s="22">
        <v>757.0</v>
      </c>
      <c r="H21" s="22">
        <v>94.0</v>
      </c>
      <c r="I21" s="47">
        <v>8329.0</v>
      </c>
      <c r="J21" s="22">
        <v>6925.0</v>
      </c>
      <c r="K21" s="22">
        <v>857.0</v>
      </c>
      <c r="L21" s="22">
        <v>121.0</v>
      </c>
      <c r="M21" s="22">
        <v>3372.0</v>
      </c>
      <c r="N21" s="22">
        <v>2575.0</v>
      </c>
      <c r="O21" s="46">
        <v>1404.0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ht="15.75" customHeight="1">
      <c r="A22" s="45" t="s">
        <v>348</v>
      </c>
      <c r="B22" s="22">
        <v>1192.0</v>
      </c>
      <c r="C22" s="22">
        <v>1106.0</v>
      </c>
      <c r="D22" s="22">
        <v>16.0</v>
      </c>
      <c r="E22" s="22">
        <v>10.0</v>
      </c>
      <c r="F22" s="22">
        <v>1037.0</v>
      </c>
      <c r="G22" s="22">
        <v>43.0</v>
      </c>
      <c r="H22" s="22">
        <v>86.0</v>
      </c>
      <c r="I22" s="47">
        <v>6079.0</v>
      </c>
      <c r="J22" s="22">
        <v>4772.0</v>
      </c>
      <c r="K22" s="22">
        <v>39.0</v>
      </c>
      <c r="L22" s="22">
        <v>39.0</v>
      </c>
      <c r="M22" s="22">
        <v>4560.0</v>
      </c>
      <c r="N22" s="22">
        <v>134.0</v>
      </c>
      <c r="O22" s="46">
        <v>1307.0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ht="15.75" customHeight="1">
      <c r="A23" s="45" t="s">
        <v>349</v>
      </c>
      <c r="B23" s="22">
        <v>5086.0</v>
      </c>
      <c r="C23" s="22">
        <v>4576.0</v>
      </c>
      <c r="D23" s="22">
        <v>86.0</v>
      </c>
      <c r="E23" s="22">
        <v>197.0</v>
      </c>
      <c r="F23" s="22">
        <v>2244.0</v>
      </c>
      <c r="G23" s="22">
        <v>2049.0</v>
      </c>
      <c r="H23" s="22">
        <v>510.0</v>
      </c>
      <c r="I23" s="47">
        <v>30909.0</v>
      </c>
      <c r="J23" s="22">
        <v>19720.0</v>
      </c>
      <c r="K23" s="22">
        <v>469.0</v>
      </c>
      <c r="L23" s="22">
        <v>962.0</v>
      </c>
      <c r="M23" s="22">
        <v>9614.0</v>
      </c>
      <c r="N23" s="22">
        <v>8675.0</v>
      </c>
      <c r="O23" s="46">
        <v>11189.0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ht="15.75" customHeight="1">
      <c r="A24" s="45" t="s">
        <v>350</v>
      </c>
      <c r="B24" s="22">
        <v>924.0</v>
      </c>
      <c r="C24" s="22">
        <v>609.0</v>
      </c>
      <c r="D24" s="22">
        <v>85.0</v>
      </c>
      <c r="E24" s="22">
        <v>141.0</v>
      </c>
      <c r="F24" s="22">
        <v>370.0</v>
      </c>
      <c r="G24" s="22">
        <v>13.0</v>
      </c>
      <c r="H24" s="22">
        <v>315.0</v>
      </c>
      <c r="I24" s="47">
        <v>4383.0</v>
      </c>
      <c r="J24" s="22">
        <v>2495.0</v>
      </c>
      <c r="K24" s="22">
        <v>609.0</v>
      </c>
      <c r="L24" s="22">
        <v>624.0</v>
      </c>
      <c r="M24" s="22">
        <v>1225.0</v>
      </c>
      <c r="N24" s="22">
        <v>37.0</v>
      </c>
      <c r="O24" s="46">
        <v>1888.0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ht="15.75" customHeight="1">
      <c r="A25" s="45" t="s">
        <v>351</v>
      </c>
      <c r="B25" s="22">
        <v>2428.0</v>
      </c>
      <c r="C25" s="22">
        <v>1644.0</v>
      </c>
      <c r="D25" s="22">
        <v>152.0</v>
      </c>
      <c r="E25" s="22">
        <v>399.0</v>
      </c>
      <c r="F25" s="22">
        <v>1000.0</v>
      </c>
      <c r="G25" s="22">
        <v>93.0</v>
      </c>
      <c r="H25" s="22">
        <v>784.0</v>
      </c>
      <c r="I25" s="47">
        <v>16107.0</v>
      </c>
      <c r="J25" s="22">
        <v>9412.0</v>
      </c>
      <c r="K25" s="22">
        <v>772.0</v>
      </c>
      <c r="L25" s="22">
        <v>3176.0</v>
      </c>
      <c r="M25" s="22">
        <v>4814.0</v>
      </c>
      <c r="N25" s="22">
        <v>650.0</v>
      </c>
      <c r="O25" s="46">
        <v>6695.0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ht="15.75" customHeight="1">
      <c r="A26" s="45" t="s">
        <v>352</v>
      </c>
      <c r="B26" s="22">
        <v>4389.0</v>
      </c>
      <c r="C26" s="22">
        <v>3374.0</v>
      </c>
      <c r="D26" s="22">
        <v>333.0</v>
      </c>
      <c r="E26" s="22">
        <v>845.0</v>
      </c>
      <c r="F26" s="22">
        <v>2101.0</v>
      </c>
      <c r="G26" s="22">
        <v>95.0</v>
      </c>
      <c r="H26" s="22">
        <v>1015.0</v>
      </c>
      <c r="I26" s="47">
        <v>20828.0</v>
      </c>
      <c r="J26" s="22">
        <v>14008.0</v>
      </c>
      <c r="K26" s="22">
        <v>2426.0</v>
      </c>
      <c r="L26" s="22">
        <v>3138.0</v>
      </c>
      <c r="M26" s="22">
        <v>7647.0</v>
      </c>
      <c r="N26" s="22">
        <v>797.0</v>
      </c>
      <c r="O26" s="46">
        <v>6820.0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ht="15.75" customHeight="1">
      <c r="A27" s="45" t="s">
        <v>353</v>
      </c>
      <c r="B27" s="22">
        <v>3384.0</v>
      </c>
      <c r="C27" s="22">
        <v>2763.0</v>
      </c>
      <c r="D27" s="22">
        <v>749.0</v>
      </c>
      <c r="E27" s="22">
        <v>194.0</v>
      </c>
      <c r="F27" s="22">
        <v>1785.0</v>
      </c>
      <c r="G27" s="22">
        <v>35.0</v>
      </c>
      <c r="H27" s="22">
        <v>621.0</v>
      </c>
      <c r="I27" s="47">
        <v>21640.0</v>
      </c>
      <c r="J27" s="22">
        <v>14016.0</v>
      </c>
      <c r="K27" s="22">
        <v>4100.0</v>
      </c>
      <c r="L27" s="22">
        <v>790.0</v>
      </c>
      <c r="M27" s="22">
        <v>8862.0</v>
      </c>
      <c r="N27" s="22">
        <v>264.0</v>
      </c>
      <c r="O27" s="46">
        <v>7624.0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ht="15.75" customHeight="1">
      <c r="A28" s="45"/>
      <c r="B28" s="22"/>
      <c r="C28" s="22"/>
      <c r="D28" s="22"/>
      <c r="E28" s="22"/>
      <c r="F28" s="22"/>
      <c r="G28" s="22"/>
      <c r="H28" s="22"/>
      <c r="I28" s="47"/>
      <c r="J28" s="22"/>
      <c r="K28" s="22"/>
      <c r="L28" s="22"/>
      <c r="M28" s="22"/>
      <c r="N28" s="22"/>
      <c r="O28" s="46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ht="15.75" customHeight="1">
      <c r="A29" s="75" t="s">
        <v>22</v>
      </c>
      <c r="B29" s="76">
        <v>6620.0</v>
      </c>
      <c r="C29" s="76">
        <v>4884.0</v>
      </c>
      <c r="D29" s="76">
        <v>579.0</v>
      </c>
      <c r="E29" s="76">
        <v>1511.0</v>
      </c>
      <c r="F29" s="76">
        <v>2516.0</v>
      </c>
      <c r="G29" s="76">
        <v>278.0</v>
      </c>
      <c r="H29" s="76">
        <v>1736.0</v>
      </c>
      <c r="I29" s="101">
        <v>22260.0</v>
      </c>
      <c r="J29" s="76">
        <v>15474.0</v>
      </c>
      <c r="K29" s="76">
        <v>2205.0</v>
      </c>
      <c r="L29" s="76">
        <v>4513.0</v>
      </c>
      <c r="M29" s="76">
        <v>7868.0</v>
      </c>
      <c r="N29" s="76">
        <v>888.0</v>
      </c>
      <c r="O29" s="77">
        <v>6786.0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20"/>
      <c r="AB29" s="18"/>
      <c r="AC29" s="18"/>
      <c r="AD29" s="18"/>
      <c r="AE29" s="18"/>
      <c r="AF29" s="18"/>
      <c r="AG29" s="18"/>
      <c r="AH29" s="18"/>
      <c r="AI29" s="18"/>
    </row>
    <row r="30" ht="15.75" customHeight="1">
      <c r="A30" s="45" t="s">
        <v>354</v>
      </c>
      <c r="B30" s="22">
        <v>201.0</v>
      </c>
      <c r="C30" s="22">
        <v>120.0</v>
      </c>
      <c r="D30" s="22">
        <v>19.0</v>
      </c>
      <c r="E30" s="22">
        <v>44.0</v>
      </c>
      <c r="F30" s="22">
        <v>12.0</v>
      </c>
      <c r="G30" s="22">
        <v>45.0</v>
      </c>
      <c r="H30" s="22">
        <v>81.0</v>
      </c>
      <c r="I30" s="47">
        <v>556.0</v>
      </c>
      <c r="J30" s="22">
        <v>321.0</v>
      </c>
      <c r="K30" s="22">
        <v>38.0</v>
      </c>
      <c r="L30" s="22">
        <v>125.0</v>
      </c>
      <c r="M30" s="22">
        <v>25.0</v>
      </c>
      <c r="N30" s="22">
        <v>133.0</v>
      </c>
      <c r="O30" s="46">
        <v>235.0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ht="15.75" customHeight="1">
      <c r="A31" s="45" t="s">
        <v>355</v>
      </c>
      <c r="B31" s="22">
        <v>50.0</v>
      </c>
      <c r="C31" s="22">
        <v>36.0</v>
      </c>
      <c r="D31" s="22">
        <v>1.0</v>
      </c>
      <c r="E31" s="22">
        <v>21.0</v>
      </c>
      <c r="F31" s="22">
        <v>12.0</v>
      </c>
      <c r="G31" s="22">
        <v>2.0</v>
      </c>
      <c r="H31" s="22">
        <v>14.0</v>
      </c>
      <c r="I31" s="47">
        <v>143.0</v>
      </c>
      <c r="J31" s="22">
        <v>101.0</v>
      </c>
      <c r="K31" s="22">
        <v>3.0</v>
      </c>
      <c r="L31" s="22">
        <v>58.0</v>
      </c>
      <c r="M31" s="22">
        <v>38.0</v>
      </c>
      <c r="N31" s="22">
        <v>2.0</v>
      </c>
      <c r="O31" s="46">
        <v>42.0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ht="15.75" customHeight="1">
      <c r="A32" s="45" t="s">
        <v>357</v>
      </c>
      <c r="B32" s="22">
        <v>5051.0</v>
      </c>
      <c r="C32" s="22">
        <v>3933.0</v>
      </c>
      <c r="D32" s="22">
        <v>453.0</v>
      </c>
      <c r="E32" s="22">
        <v>1087.0</v>
      </c>
      <c r="F32" s="22">
        <v>2195.0</v>
      </c>
      <c r="G32" s="22">
        <v>198.0</v>
      </c>
      <c r="H32" s="22">
        <v>1118.0</v>
      </c>
      <c r="I32" s="47">
        <v>18561.0</v>
      </c>
      <c r="J32" s="22">
        <v>13349.0</v>
      </c>
      <c r="K32" s="22">
        <v>1914.0</v>
      </c>
      <c r="L32" s="22">
        <v>3610.0</v>
      </c>
      <c r="M32" s="22">
        <v>7149.0</v>
      </c>
      <c r="N32" s="22">
        <v>676.0</v>
      </c>
      <c r="O32" s="46">
        <v>5212.0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ht="15.75" customHeight="1">
      <c r="A33" s="45" t="s">
        <v>358</v>
      </c>
      <c r="B33" s="22">
        <v>279.0</v>
      </c>
      <c r="C33" s="22">
        <v>116.0</v>
      </c>
      <c r="D33" s="22">
        <v>19.0</v>
      </c>
      <c r="E33" s="22">
        <v>42.0</v>
      </c>
      <c r="F33" s="22">
        <v>52.0</v>
      </c>
      <c r="G33" s="22">
        <v>3.0</v>
      </c>
      <c r="H33" s="22">
        <v>163.0</v>
      </c>
      <c r="I33" s="47">
        <v>568.0</v>
      </c>
      <c r="J33" s="22">
        <v>239.0</v>
      </c>
      <c r="K33" s="22">
        <v>44.0</v>
      </c>
      <c r="L33" s="22">
        <v>82.0</v>
      </c>
      <c r="M33" s="22">
        <v>105.0</v>
      </c>
      <c r="N33" s="22">
        <v>8.0</v>
      </c>
      <c r="O33" s="46">
        <v>329.0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ht="15.75" customHeight="1">
      <c r="A34" s="45" t="s">
        <v>359</v>
      </c>
      <c r="B34" s="22">
        <v>515.0</v>
      </c>
      <c r="C34" s="22">
        <v>431.0</v>
      </c>
      <c r="D34" s="22">
        <v>58.0</v>
      </c>
      <c r="E34" s="22">
        <v>173.0</v>
      </c>
      <c r="F34" s="22">
        <v>176.0</v>
      </c>
      <c r="G34" s="22">
        <v>24.0</v>
      </c>
      <c r="H34" s="22">
        <v>84.0</v>
      </c>
      <c r="I34" s="47">
        <v>1226.0</v>
      </c>
      <c r="J34" s="22">
        <v>993.0</v>
      </c>
      <c r="K34" s="22">
        <v>144.0</v>
      </c>
      <c r="L34" s="22">
        <v>377.0</v>
      </c>
      <c r="M34" s="22">
        <v>416.0</v>
      </c>
      <c r="N34" s="22">
        <v>56.0</v>
      </c>
      <c r="O34" s="46">
        <v>233.0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ht="15.75" customHeight="1">
      <c r="A35" s="45" t="s">
        <v>360</v>
      </c>
      <c r="B35" s="22">
        <v>524.0</v>
      </c>
      <c r="C35" s="22">
        <v>248.0</v>
      </c>
      <c r="D35" s="22">
        <v>29.0</v>
      </c>
      <c r="E35" s="22">
        <v>144.0</v>
      </c>
      <c r="F35" s="22">
        <v>69.0</v>
      </c>
      <c r="G35" s="22">
        <v>6.0</v>
      </c>
      <c r="H35" s="22">
        <v>276.0</v>
      </c>
      <c r="I35" s="47">
        <v>1206.0</v>
      </c>
      <c r="J35" s="22">
        <v>471.0</v>
      </c>
      <c r="K35" s="22">
        <v>62.0</v>
      </c>
      <c r="L35" s="22">
        <v>261.0</v>
      </c>
      <c r="M35" s="22">
        <v>135.0</v>
      </c>
      <c r="N35" s="22">
        <v>13.0</v>
      </c>
      <c r="O35" s="46">
        <v>735.0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ht="15.75" customHeight="1">
      <c r="A36" s="21"/>
      <c r="B36" s="22"/>
      <c r="C36" s="22"/>
      <c r="D36" s="22"/>
      <c r="E36" s="22"/>
      <c r="F36" s="22"/>
      <c r="G36" s="22"/>
      <c r="H36" s="22"/>
      <c r="I36" s="47"/>
      <c r="J36" s="22"/>
      <c r="K36" s="22"/>
      <c r="L36" s="22"/>
      <c r="M36" s="22"/>
      <c r="N36" s="22"/>
      <c r="O36" s="4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ht="15.75" customHeight="1">
      <c r="A37" s="75" t="s">
        <v>23</v>
      </c>
      <c r="B37" s="76">
        <v>16623.0</v>
      </c>
      <c r="C37" s="76">
        <v>13985.0</v>
      </c>
      <c r="D37" s="76">
        <v>1548.0</v>
      </c>
      <c r="E37" s="76">
        <v>6062.0</v>
      </c>
      <c r="F37" s="76">
        <v>5837.0</v>
      </c>
      <c r="G37" s="76">
        <v>538.0</v>
      </c>
      <c r="H37" s="76">
        <v>2638.0</v>
      </c>
      <c r="I37" s="101">
        <v>58354.0</v>
      </c>
      <c r="J37" s="76">
        <v>45916.0</v>
      </c>
      <c r="K37" s="76">
        <v>5328.0</v>
      </c>
      <c r="L37" s="76">
        <v>20011.0</v>
      </c>
      <c r="M37" s="76">
        <v>18378.0</v>
      </c>
      <c r="N37" s="76">
        <v>2199.0</v>
      </c>
      <c r="O37" s="77">
        <v>12438.0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20"/>
      <c r="AB37" s="18"/>
      <c r="AC37" s="18"/>
      <c r="AD37" s="18"/>
      <c r="AE37" s="18"/>
      <c r="AF37" s="18"/>
      <c r="AG37" s="18"/>
      <c r="AH37" s="18"/>
      <c r="AI37" s="18"/>
    </row>
    <row r="38" ht="15.75" customHeight="1">
      <c r="A38" s="45" t="s">
        <v>361</v>
      </c>
      <c r="B38" s="22">
        <v>2071.0</v>
      </c>
      <c r="C38" s="22">
        <v>1606.0</v>
      </c>
      <c r="D38" s="22">
        <v>175.0</v>
      </c>
      <c r="E38" s="22">
        <v>769.0</v>
      </c>
      <c r="F38" s="22">
        <v>591.0</v>
      </c>
      <c r="G38" s="22">
        <v>71.0</v>
      </c>
      <c r="H38" s="22">
        <v>465.0</v>
      </c>
      <c r="I38" s="47">
        <v>7672.0</v>
      </c>
      <c r="J38" s="22">
        <v>5531.0</v>
      </c>
      <c r="K38" s="22">
        <v>551.0</v>
      </c>
      <c r="L38" s="22">
        <v>2615.0</v>
      </c>
      <c r="M38" s="22">
        <v>2110.0</v>
      </c>
      <c r="N38" s="22">
        <v>255.0</v>
      </c>
      <c r="O38" s="46">
        <v>2141.0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ht="15.75" customHeight="1">
      <c r="A39" s="45" t="s">
        <v>362</v>
      </c>
      <c r="B39" s="22">
        <v>2706.0</v>
      </c>
      <c r="C39" s="22">
        <v>2030.0</v>
      </c>
      <c r="D39" s="22">
        <v>252.0</v>
      </c>
      <c r="E39" s="22">
        <v>976.0</v>
      </c>
      <c r="F39" s="22">
        <v>733.0</v>
      </c>
      <c r="G39" s="22">
        <v>69.0</v>
      </c>
      <c r="H39" s="22">
        <v>676.0</v>
      </c>
      <c r="I39" s="47">
        <v>7948.0</v>
      </c>
      <c r="J39" s="22">
        <v>5286.0</v>
      </c>
      <c r="K39" s="22">
        <v>672.0</v>
      </c>
      <c r="L39" s="22">
        <v>2528.0</v>
      </c>
      <c r="M39" s="22">
        <v>1888.0</v>
      </c>
      <c r="N39" s="22">
        <v>198.0</v>
      </c>
      <c r="O39" s="46">
        <v>2662.0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ht="15.75" customHeight="1">
      <c r="A40" s="45" t="s">
        <v>363</v>
      </c>
      <c r="B40" s="22">
        <v>2574.0</v>
      </c>
      <c r="C40" s="22">
        <v>2137.0</v>
      </c>
      <c r="D40" s="22">
        <v>242.0</v>
      </c>
      <c r="E40" s="22">
        <v>723.0</v>
      </c>
      <c r="F40" s="22">
        <v>1116.0</v>
      </c>
      <c r="G40" s="22">
        <v>56.0</v>
      </c>
      <c r="H40" s="22">
        <v>437.0</v>
      </c>
      <c r="I40" s="47">
        <v>8646.0</v>
      </c>
      <c r="J40" s="22">
        <v>6990.0</v>
      </c>
      <c r="K40" s="22">
        <v>1035.0</v>
      </c>
      <c r="L40" s="22">
        <v>2597.0</v>
      </c>
      <c r="M40" s="22">
        <v>3187.0</v>
      </c>
      <c r="N40" s="22">
        <v>171.0</v>
      </c>
      <c r="O40" s="46">
        <v>1656.0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ht="15.75" customHeight="1">
      <c r="A41" s="45" t="s">
        <v>364</v>
      </c>
      <c r="B41" s="22">
        <v>9272.0</v>
      </c>
      <c r="C41" s="22">
        <v>8212.0</v>
      </c>
      <c r="D41" s="22">
        <v>879.0</v>
      </c>
      <c r="E41" s="22">
        <v>3594.0</v>
      </c>
      <c r="F41" s="22">
        <v>3397.0</v>
      </c>
      <c r="G41" s="22">
        <v>342.0</v>
      </c>
      <c r="H41" s="22">
        <v>1060.0</v>
      </c>
      <c r="I41" s="47">
        <v>34088.0</v>
      </c>
      <c r="J41" s="22">
        <v>28109.0</v>
      </c>
      <c r="K41" s="22">
        <v>3070.0</v>
      </c>
      <c r="L41" s="22">
        <v>12271.0</v>
      </c>
      <c r="M41" s="22">
        <v>11193.0</v>
      </c>
      <c r="N41" s="22">
        <v>1575.0</v>
      </c>
      <c r="O41" s="46">
        <v>5979.0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ht="15.75" customHeight="1">
      <c r="A42" s="45"/>
      <c r="B42" s="22"/>
      <c r="C42" s="22"/>
      <c r="D42" s="22"/>
      <c r="E42" s="22"/>
      <c r="F42" s="22"/>
      <c r="G42" s="22"/>
      <c r="H42" s="22"/>
      <c r="I42" s="47"/>
      <c r="J42" s="22"/>
      <c r="K42" s="22"/>
      <c r="L42" s="22"/>
      <c r="M42" s="22"/>
      <c r="N42" s="22"/>
      <c r="O42" s="4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ht="15.75" customHeight="1">
      <c r="A43" s="75" t="s">
        <v>24</v>
      </c>
      <c r="B43" s="76">
        <v>8726.0</v>
      </c>
      <c r="C43" s="76">
        <v>6016.0</v>
      </c>
      <c r="D43" s="76">
        <v>961.0</v>
      </c>
      <c r="E43" s="76">
        <v>1954.0</v>
      </c>
      <c r="F43" s="76">
        <v>2778.0</v>
      </c>
      <c r="G43" s="76">
        <v>323.0</v>
      </c>
      <c r="H43" s="76">
        <v>2710.0</v>
      </c>
      <c r="I43" s="101">
        <v>28654.0</v>
      </c>
      <c r="J43" s="76">
        <v>19027.0</v>
      </c>
      <c r="K43" s="76">
        <v>2851.0</v>
      </c>
      <c r="L43" s="76">
        <v>7183.0</v>
      </c>
      <c r="M43" s="76">
        <v>7958.0</v>
      </c>
      <c r="N43" s="76">
        <v>1035.0</v>
      </c>
      <c r="O43" s="77">
        <v>9627.0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0"/>
      <c r="AB43" s="18"/>
      <c r="AC43" s="18"/>
      <c r="AD43" s="18"/>
      <c r="AE43" s="18"/>
      <c r="AF43" s="18"/>
      <c r="AG43" s="18"/>
      <c r="AH43" s="18"/>
      <c r="AI43" s="18"/>
    </row>
    <row r="44" ht="15.75" customHeight="1">
      <c r="A44" s="45" t="s">
        <v>365</v>
      </c>
      <c r="B44" s="22">
        <v>95.0</v>
      </c>
      <c r="C44" s="22">
        <v>28.0</v>
      </c>
      <c r="D44" s="22">
        <v>7.0</v>
      </c>
      <c r="E44" s="22">
        <v>14.0</v>
      </c>
      <c r="F44" s="22">
        <v>7.0</v>
      </c>
      <c r="G44" s="22">
        <v>0.0</v>
      </c>
      <c r="H44" s="22">
        <v>67.0</v>
      </c>
      <c r="I44" s="47">
        <v>416.0</v>
      </c>
      <c r="J44" s="22">
        <v>95.0</v>
      </c>
      <c r="K44" s="22">
        <v>12.0</v>
      </c>
      <c r="L44" s="22">
        <v>58.0</v>
      </c>
      <c r="M44" s="22">
        <v>25.0</v>
      </c>
      <c r="N44" s="22">
        <v>0.0</v>
      </c>
      <c r="O44" s="46">
        <v>321.0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ht="15.75" customHeight="1">
      <c r="A45" s="45" t="s">
        <v>366</v>
      </c>
      <c r="B45" s="22">
        <v>2737.0</v>
      </c>
      <c r="C45" s="22">
        <v>1721.0</v>
      </c>
      <c r="D45" s="22">
        <v>263.0</v>
      </c>
      <c r="E45" s="22">
        <v>595.0</v>
      </c>
      <c r="F45" s="22">
        <v>776.0</v>
      </c>
      <c r="G45" s="22">
        <v>87.0</v>
      </c>
      <c r="H45" s="22">
        <v>1016.0</v>
      </c>
      <c r="I45" s="47">
        <v>9313.0</v>
      </c>
      <c r="J45" s="22">
        <v>5232.0</v>
      </c>
      <c r="K45" s="22">
        <v>902.0</v>
      </c>
      <c r="L45" s="22">
        <v>1763.0</v>
      </c>
      <c r="M45" s="22">
        <v>2312.0</v>
      </c>
      <c r="N45" s="22">
        <v>255.0</v>
      </c>
      <c r="O45" s="46">
        <v>4081.0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ht="15.75" customHeight="1">
      <c r="A46" s="45" t="s">
        <v>367</v>
      </c>
      <c r="B46" s="22">
        <v>3368.0</v>
      </c>
      <c r="C46" s="22">
        <v>2579.0</v>
      </c>
      <c r="D46" s="22">
        <v>309.0</v>
      </c>
      <c r="E46" s="22">
        <v>770.0</v>
      </c>
      <c r="F46" s="22">
        <v>1332.0</v>
      </c>
      <c r="G46" s="22">
        <v>168.0</v>
      </c>
      <c r="H46" s="22">
        <v>789.0</v>
      </c>
      <c r="I46" s="47">
        <v>10352.0</v>
      </c>
      <c r="J46" s="22">
        <v>7750.0</v>
      </c>
      <c r="K46" s="22">
        <v>891.0</v>
      </c>
      <c r="L46" s="22">
        <v>2346.0</v>
      </c>
      <c r="M46" s="22">
        <v>3947.0</v>
      </c>
      <c r="N46" s="22">
        <v>566.0</v>
      </c>
      <c r="O46" s="46">
        <v>2602.0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ht="15.75" customHeight="1">
      <c r="A47" s="45" t="s">
        <v>368</v>
      </c>
      <c r="B47" s="22">
        <v>1943.0</v>
      </c>
      <c r="C47" s="22">
        <v>1353.0</v>
      </c>
      <c r="D47" s="22">
        <v>256.0</v>
      </c>
      <c r="E47" s="22">
        <v>463.0</v>
      </c>
      <c r="F47" s="22">
        <v>594.0</v>
      </c>
      <c r="G47" s="22">
        <v>40.0</v>
      </c>
      <c r="H47" s="22">
        <v>590.0</v>
      </c>
      <c r="I47" s="47">
        <v>7021.0</v>
      </c>
      <c r="J47" s="22">
        <v>5041.0</v>
      </c>
      <c r="K47" s="22">
        <v>712.0</v>
      </c>
      <c r="L47" s="22">
        <v>2713.0</v>
      </c>
      <c r="M47" s="22">
        <v>1491.0</v>
      </c>
      <c r="N47" s="22">
        <v>125.0</v>
      </c>
      <c r="O47" s="46">
        <v>1980.0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ht="15.75" customHeight="1">
      <c r="A48" s="45" t="s">
        <v>369</v>
      </c>
      <c r="B48" s="22">
        <v>583.0</v>
      </c>
      <c r="C48" s="22">
        <v>335.0</v>
      </c>
      <c r="D48" s="22">
        <v>126.0</v>
      </c>
      <c r="E48" s="22">
        <v>112.0</v>
      </c>
      <c r="F48" s="22">
        <v>69.0</v>
      </c>
      <c r="G48" s="22">
        <v>28.0</v>
      </c>
      <c r="H48" s="22">
        <v>248.0</v>
      </c>
      <c r="I48" s="47">
        <v>1552.0</v>
      </c>
      <c r="J48" s="22">
        <v>909.0</v>
      </c>
      <c r="K48" s="22">
        <v>334.0</v>
      </c>
      <c r="L48" s="22">
        <v>303.0</v>
      </c>
      <c r="M48" s="22">
        <v>183.0</v>
      </c>
      <c r="N48" s="22">
        <v>89.0</v>
      </c>
      <c r="O48" s="46">
        <v>643.0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ht="15.75" customHeight="1">
      <c r="A49" s="45"/>
      <c r="B49" s="22"/>
      <c r="C49" s="22"/>
      <c r="D49" s="22"/>
      <c r="E49" s="22"/>
      <c r="F49" s="22"/>
      <c r="G49" s="22"/>
      <c r="H49" s="22"/>
      <c r="I49" s="47"/>
      <c r="J49" s="22"/>
      <c r="K49" s="22"/>
      <c r="L49" s="22"/>
      <c r="M49" s="22"/>
      <c r="N49" s="22"/>
      <c r="O49" s="4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ht="15.75" customHeight="1">
      <c r="A50" s="75" t="s">
        <v>25</v>
      </c>
      <c r="B50" s="76">
        <v>33399.0</v>
      </c>
      <c r="C50" s="76">
        <v>27672.0</v>
      </c>
      <c r="D50" s="76">
        <v>3178.0</v>
      </c>
      <c r="E50" s="76">
        <v>11104.0</v>
      </c>
      <c r="F50" s="76">
        <v>12338.0</v>
      </c>
      <c r="G50" s="76">
        <v>1052.0</v>
      </c>
      <c r="H50" s="76">
        <v>5727.0</v>
      </c>
      <c r="I50" s="101">
        <v>148476.0</v>
      </c>
      <c r="J50" s="76">
        <v>96459.0</v>
      </c>
      <c r="K50" s="76">
        <v>10272.0</v>
      </c>
      <c r="L50" s="76">
        <v>39437.0</v>
      </c>
      <c r="M50" s="76">
        <v>41962.0</v>
      </c>
      <c r="N50" s="76">
        <v>4788.0</v>
      </c>
      <c r="O50" s="77">
        <v>52017.0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0"/>
      <c r="AB50" s="18"/>
      <c r="AC50" s="18"/>
      <c r="AD50" s="18"/>
      <c r="AE50" s="18"/>
      <c r="AF50" s="18"/>
      <c r="AG50" s="18"/>
      <c r="AH50" s="18"/>
      <c r="AI50" s="18"/>
    </row>
    <row r="51" ht="15.75" customHeight="1">
      <c r="A51" s="45" t="s">
        <v>370</v>
      </c>
      <c r="B51" s="22">
        <v>730.0</v>
      </c>
      <c r="C51" s="22">
        <v>471.0</v>
      </c>
      <c r="D51" s="22">
        <v>37.0</v>
      </c>
      <c r="E51" s="22">
        <v>108.0</v>
      </c>
      <c r="F51" s="22">
        <v>298.0</v>
      </c>
      <c r="G51" s="22">
        <v>28.0</v>
      </c>
      <c r="H51" s="22">
        <v>259.0</v>
      </c>
      <c r="I51" s="47">
        <v>2428.0</v>
      </c>
      <c r="J51" s="22">
        <v>1336.0</v>
      </c>
      <c r="K51" s="22">
        <v>97.0</v>
      </c>
      <c r="L51" s="22">
        <v>296.0</v>
      </c>
      <c r="M51" s="22">
        <v>866.0</v>
      </c>
      <c r="N51" s="22">
        <v>77.0</v>
      </c>
      <c r="O51" s="46">
        <v>1092.0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ht="15.75" customHeight="1">
      <c r="A52" s="45" t="s">
        <v>371</v>
      </c>
      <c r="B52" s="22">
        <v>3265.0</v>
      </c>
      <c r="C52" s="22">
        <v>2825.0</v>
      </c>
      <c r="D52" s="22">
        <v>452.0</v>
      </c>
      <c r="E52" s="22">
        <v>1136.0</v>
      </c>
      <c r="F52" s="22">
        <v>1114.0</v>
      </c>
      <c r="G52" s="22">
        <v>123.0</v>
      </c>
      <c r="H52" s="22">
        <v>440.0</v>
      </c>
      <c r="I52" s="47">
        <v>13808.0</v>
      </c>
      <c r="J52" s="22">
        <v>7876.0</v>
      </c>
      <c r="K52" s="22">
        <v>1246.0</v>
      </c>
      <c r="L52" s="22">
        <v>2965.0</v>
      </c>
      <c r="M52" s="22">
        <v>2990.0</v>
      </c>
      <c r="N52" s="22">
        <v>675.0</v>
      </c>
      <c r="O52" s="46">
        <v>5932.0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ht="15.75" customHeight="1">
      <c r="A53" s="45" t="s">
        <v>372</v>
      </c>
      <c r="B53" s="22">
        <v>11721.0</v>
      </c>
      <c r="C53" s="22">
        <v>10618.0</v>
      </c>
      <c r="D53" s="22">
        <v>899.0</v>
      </c>
      <c r="E53" s="22">
        <v>4577.0</v>
      </c>
      <c r="F53" s="22">
        <v>4813.0</v>
      </c>
      <c r="G53" s="22">
        <v>329.0</v>
      </c>
      <c r="H53" s="22">
        <v>1103.0</v>
      </c>
      <c r="I53" s="47">
        <v>46808.0</v>
      </c>
      <c r="J53" s="22">
        <v>40625.0</v>
      </c>
      <c r="K53" s="22">
        <v>3349.0</v>
      </c>
      <c r="L53" s="22">
        <v>18544.0</v>
      </c>
      <c r="M53" s="22">
        <v>17344.0</v>
      </c>
      <c r="N53" s="22">
        <v>1388.0</v>
      </c>
      <c r="O53" s="46">
        <v>6183.0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ht="15.75" customHeight="1">
      <c r="A54" s="45" t="s">
        <v>373</v>
      </c>
      <c r="B54" s="22">
        <v>5761.0</v>
      </c>
      <c r="C54" s="22">
        <v>4500.0</v>
      </c>
      <c r="D54" s="22">
        <v>652.0</v>
      </c>
      <c r="E54" s="22">
        <v>1919.0</v>
      </c>
      <c r="F54" s="22">
        <v>1738.0</v>
      </c>
      <c r="G54" s="22">
        <v>191.0</v>
      </c>
      <c r="H54" s="22">
        <v>1261.0</v>
      </c>
      <c r="I54" s="47">
        <v>18946.0</v>
      </c>
      <c r="J54" s="22">
        <v>14154.0</v>
      </c>
      <c r="K54" s="22">
        <v>2364.0</v>
      </c>
      <c r="L54" s="22">
        <v>5518.0</v>
      </c>
      <c r="M54" s="22">
        <v>5527.0</v>
      </c>
      <c r="N54" s="22">
        <v>745.0</v>
      </c>
      <c r="O54" s="46">
        <v>4792.0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ht="15.75" customHeight="1">
      <c r="A55" s="45" t="s">
        <v>374</v>
      </c>
      <c r="B55" s="22">
        <v>6235.0</v>
      </c>
      <c r="C55" s="22">
        <v>4481.0</v>
      </c>
      <c r="D55" s="22">
        <v>415.0</v>
      </c>
      <c r="E55" s="22">
        <v>1517.0</v>
      </c>
      <c r="F55" s="22">
        <v>2383.0</v>
      </c>
      <c r="G55" s="22">
        <v>166.0</v>
      </c>
      <c r="H55" s="22">
        <v>1754.0</v>
      </c>
      <c r="I55" s="47">
        <v>45723.0</v>
      </c>
      <c r="J55" s="22">
        <v>16034.0</v>
      </c>
      <c r="K55" s="22">
        <v>1242.0</v>
      </c>
      <c r="L55" s="22">
        <v>5602.0</v>
      </c>
      <c r="M55" s="22">
        <v>8424.0</v>
      </c>
      <c r="N55" s="22">
        <v>766.0</v>
      </c>
      <c r="O55" s="46">
        <v>29689.0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ht="15.75" customHeight="1">
      <c r="A56" s="45" t="s">
        <v>375</v>
      </c>
      <c r="B56" s="22">
        <v>3264.0</v>
      </c>
      <c r="C56" s="22">
        <v>2698.0</v>
      </c>
      <c r="D56" s="22">
        <v>372.0</v>
      </c>
      <c r="E56" s="22">
        <v>1144.0</v>
      </c>
      <c r="F56" s="22">
        <v>1081.0</v>
      </c>
      <c r="G56" s="22">
        <v>101.0</v>
      </c>
      <c r="H56" s="22">
        <v>566.0</v>
      </c>
      <c r="I56" s="47">
        <v>11693.0</v>
      </c>
      <c r="J56" s="22">
        <v>8746.0</v>
      </c>
      <c r="K56" s="22">
        <v>926.0</v>
      </c>
      <c r="L56" s="22">
        <v>4139.0</v>
      </c>
      <c r="M56" s="22">
        <v>3394.0</v>
      </c>
      <c r="N56" s="22">
        <v>287.0</v>
      </c>
      <c r="O56" s="46">
        <v>2947.0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ht="15.75" customHeight="1">
      <c r="A57" s="45" t="s">
        <v>376</v>
      </c>
      <c r="B57" s="22">
        <v>2423.0</v>
      </c>
      <c r="C57" s="22">
        <v>2079.0</v>
      </c>
      <c r="D57" s="22">
        <v>351.0</v>
      </c>
      <c r="E57" s="22">
        <v>703.0</v>
      </c>
      <c r="F57" s="22">
        <v>911.0</v>
      </c>
      <c r="G57" s="22">
        <v>114.0</v>
      </c>
      <c r="H57" s="22">
        <v>344.0</v>
      </c>
      <c r="I57" s="47">
        <v>9070.0</v>
      </c>
      <c r="J57" s="22">
        <v>7688.0</v>
      </c>
      <c r="K57" s="22">
        <v>1048.0</v>
      </c>
      <c r="L57" s="22">
        <v>2373.0</v>
      </c>
      <c r="M57" s="22">
        <v>3417.0</v>
      </c>
      <c r="N57" s="22">
        <v>850.0</v>
      </c>
      <c r="O57" s="46">
        <v>1382.0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ht="15.75" customHeight="1">
      <c r="A58" s="45"/>
      <c r="B58" s="22"/>
      <c r="C58" s="22"/>
      <c r="D58" s="22"/>
      <c r="E58" s="22"/>
      <c r="F58" s="22"/>
      <c r="G58" s="22"/>
      <c r="H58" s="22"/>
      <c r="I58" s="47"/>
      <c r="J58" s="22"/>
      <c r="K58" s="22"/>
      <c r="L58" s="22"/>
      <c r="M58" s="22"/>
      <c r="N58" s="22"/>
      <c r="O58" s="4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ht="15.75" customHeight="1">
      <c r="A59" s="75" t="s">
        <v>26</v>
      </c>
      <c r="B59" s="76">
        <v>53597.0</v>
      </c>
      <c r="C59" s="76">
        <v>46146.0</v>
      </c>
      <c r="D59" s="76">
        <v>5429.0</v>
      </c>
      <c r="E59" s="76">
        <v>17093.0</v>
      </c>
      <c r="F59" s="76">
        <v>21783.0</v>
      </c>
      <c r="G59" s="76">
        <v>1841.0</v>
      </c>
      <c r="H59" s="76">
        <v>7451.0</v>
      </c>
      <c r="I59" s="101">
        <v>226396.0</v>
      </c>
      <c r="J59" s="76">
        <v>177386.0</v>
      </c>
      <c r="K59" s="76">
        <v>26950.0</v>
      </c>
      <c r="L59" s="76">
        <v>59199.0</v>
      </c>
      <c r="M59" s="76">
        <v>82845.0</v>
      </c>
      <c r="N59" s="76">
        <v>8392.0</v>
      </c>
      <c r="O59" s="77">
        <v>49010.0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0"/>
      <c r="AB59" s="18"/>
      <c r="AC59" s="18"/>
      <c r="AD59" s="18"/>
      <c r="AE59" s="18"/>
      <c r="AF59" s="18"/>
      <c r="AG59" s="18"/>
      <c r="AH59" s="18"/>
      <c r="AI59" s="18"/>
    </row>
    <row r="60" ht="15.75" customHeight="1">
      <c r="A60" s="2" t="s">
        <v>377</v>
      </c>
      <c r="B60" s="22">
        <v>9166.0</v>
      </c>
      <c r="C60" s="22">
        <v>7821.0</v>
      </c>
      <c r="D60" s="52">
        <v>1106.0</v>
      </c>
      <c r="E60" s="52">
        <v>2708.0</v>
      </c>
      <c r="F60" s="52">
        <v>3594.0</v>
      </c>
      <c r="G60" s="52">
        <v>413.0</v>
      </c>
      <c r="H60" s="52">
        <v>1345.0</v>
      </c>
      <c r="I60" s="47">
        <v>36512.0</v>
      </c>
      <c r="J60" s="22">
        <v>27708.0</v>
      </c>
      <c r="K60" s="52">
        <v>4136.0</v>
      </c>
      <c r="L60" s="52">
        <v>9014.0</v>
      </c>
      <c r="M60" s="52">
        <v>12637.0</v>
      </c>
      <c r="N60" s="52">
        <v>1921.0</v>
      </c>
      <c r="O60" s="105">
        <v>8804.0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ht="15.75" customHeight="1">
      <c r="A61" s="2" t="s">
        <v>378</v>
      </c>
      <c r="B61" s="22">
        <v>18266.0</v>
      </c>
      <c r="C61" s="22">
        <v>16402.0</v>
      </c>
      <c r="D61" s="52">
        <v>2024.0</v>
      </c>
      <c r="E61" s="52">
        <v>6774.0</v>
      </c>
      <c r="F61" s="52">
        <v>6977.0</v>
      </c>
      <c r="G61" s="52">
        <v>627.0</v>
      </c>
      <c r="H61" s="52">
        <v>1864.0</v>
      </c>
      <c r="I61" s="47">
        <v>80174.0</v>
      </c>
      <c r="J61" s="22">
        <v>66827.0</v>
      </c>
      <c r="K61" s="52">
        <v>13588.0</v>
      </c>
      <c r="L61" s="52">
        <v>23740.0</v>
      </c>
      <c r="M61" s="52">
        <v>26631.0</v>
      </c>
      <c r="N61" s="52">
        <v>2868.0</v>
      </c>
      <c r="O61" s="105">
        <v>13347.0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ht="15.75" customHeight="1">
      <c r="A62" s="2" t="s">
        <v>379</v>
      </c>
      <c r="B62" s="22">
        <v>9825.0</v>
      </c>
      <c r="C62" s="22">
        <v>7795.0</v>
      </c>
      <c r="D62" s="52">
        <v>659.0</v>
      </c>
      <c r="E62" s="52">
        <v>2419.0</v>
      </c>
      <c r="F62" s="52">
        <v>4485.0</v>
      </c>
      <c r="G62" s="52">
        <v>232.0</v>
      </c>
      <c r="H62" s="52">
        <v>2030.0</v>
      </c>
      <c r="I62" s="47">
        <v>52558.0</v>
      </c>
      <c r="J62" s="22">
        <v>38180.0</v>
      </c>
      <c r="K62" s="52">
        <v>4144.0</v>
      </c>
      <c r="L62" s="52">
        <v>9708.0</v>
      </c>
      <c r="M62" s="52">
        <v>22828.0</v>
      </c>
      <c r="N62" s="52">
        <v>1500.0</v>
      </c>
      <c r="O62" s="105">
        <v>14378.0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ht="15.75" customHeight="1">
      <c r="A63" s="2" t="s">
        <v>380</v>
      </c>
      <c r="B63" s="22">
        <v>6683.0</v>
      </c>
      <c r="C63" s="22">
        <v>5780.0</v>
      </c>
      <c r="D63" s="52">
        <v>619.0</v>
      </c>
      <c r="E63" s="52">
        <v>1997.0</v>
      </c>
      <c r="F63" s="52">
        <v>2842.0</v>
      </c>
      <c r="G63" s="52">
        <v>322.0</v>
      </c>
      <c r="H63" s="52">
        <v>903.0</v>
      </c>
      <c r="I63" s="47">
        <v>22422.0</v>
      </c>
      <c r="J63" s="22">
        <v>17727.0</v>
      </c>
      <c r="K63" s="52">
        <v>1822.0</v>
      </c>
      <c r="L63" s="52">
        <v>7017.0</v>
      </c>
      <c r="M63" s="52">
        <v>7914.0</v>
      </c>
      <c r="N63" s="52">
        <v>974.0</v>
      </c>
      <c r="O63" s="105">
        <v>4695.0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ht="15.75" customHeight="1">
      <c r="A64" s="2" t="s">
        <v>381</v>
      </c>
      <c r="B64" s="22">
        <v>9657.0</v>
      </c>
      <c r="C64" s="22">
        <v>8348.0</v>
      </c>
      <c r="D64" s="52">
        <v>1021.0</v>
      </c>
      <c r="E64" s="52">
        <v>3195.0</v>
      </c>
      <c r="F64" s="52">
        <v>3885.0</v>
      </c>
      <c r="G64" s="52">
        <v>247.0</v>
      </c>
      <c r="H64" s="52">
        <v>1309.0</v>
      </c>
      <c r="I64" s="47">
        <v>34730.0</v>
      </c>
      <c r="J64" s="22">
        <v>26944.0</v>
      </c>
      <c r="K64" s="52">
        <v>3260.0</v>
      </c>
      <c r="L64" s="52">
        <v>9720.0</v>
      </c>
      <c r="M64" s="52">
        <v>12835.0</v>
      </c>
      <c r="N64" s="52">
        <v>1129.0</v>
      </c>
      <c r="O64" s="105">
        <v>7786.0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ht="15.75" customHeight="1">
      <c r="A65" s="21"/>
      <c r="B65" s="22"/>
      <c r="C65" s="22"/>
      <c r="D65" s="22"/>
      <c r="E65" s="22"/>
      <c r="F65" s="22"/>
      <c r="G65" s="22"/>
      <c r="H65" s="22"/>
      <c r="I65" s="47"/>
      <c r="J65" s="22"/>
      <c r="K65" s="22"/>
      <c r="L65" s="22"/>
      <c r="M65" s="22"/>
      <c r="N65" s="22"/>
      <c r="O65" s="46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ht="15.75" customHeight="1">
      <c r="A66" s="75" t="s">
        <v>27</v>
      </c>
      <c r="B66" s="76">
        <v>6970.0</v>
      </c>
      <c r="C66" s="76">
        <v>5160.0</v>
      </c>
      <c r="D66" s="76">
        <v>901.0</v>
      </c>
      <c r="E66" s="76">
        <v>2309.0</v>
      </c>
      <c r="F66" s="76">
        <v>1666.0</v>
      </c>
      <c r="G66" s="76">
        <v>284.0</v>
      </c>
      <c r="H66" s="76">
        <v>1810.0</v>
      </c>
      <c r="I66" s="101">
        <v>24814.0</v>
      </c>
      <c r="J66" s="76">
        <v>16460.0</v>
      </c>
      <c r="K66" s="76">
        <v>2735.0</v>
      </c>
      <c r="L66" s="76">
        <v>6650.0</v>
      </c>
      <c r="M66" s="76">
        <v>5666.0</v>
      </c>
      <c r="N66" s="76">
        <v>1409.0</v>
      </c>
      <c r="O66" s="77">
        <v>8354.0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0"/>
      <c r="AB66" s="18"/>
      <c r="AC66" s="18"/>
      <c r="AD66" s="18"/>
      <c r="AE66" s="18"/>
      <c r="AF66" s="18"/>
      <c r="AG66" s="18"/>
      <c r="AH66" s="18"/>
      <c r="AI66" s="18"/>
    </row>
    <row r="67" ht="15.75" customHeight="1">
      <c r="A67" s="2" t="s">
        <v>382</v>
      </c>
      <c r="B67" s="22">
        <v>739.0</v>
      </c>
      <c r="C67" s="22">
        <v>531.0</v>
      </c>
      <c r="D67" s="52">
        <v>70.0</v>
      </c>
      <c r="E67" s="52">
        <v>242.0</v>
      </c>
      <c r="F67" s="52">
        <v>197.0</v>
      </c>
      <c r="G67" s="52">
        <v>22.0</v>
      </c>
      <c r="H67" s="52">
        <v>208.0</v>
      </c>
      <c r="I67" s="47">
        <v>1475.0</v>
      </c>
      <c r="J67" s="22">
        <v>1029.0</v>
      </c>
      <c r="K67" s="52">
        <v>139.0</v>
      </c>
      <c r="L67" s="52">
        <v>498.0</v>
      </c>
      <c r="M67" s="52">
        <v>359.0</v>
      </c>
      <c r="N67" s="52">
        <v>33.0</v>
      </c>
      <c r="O67" s="105">
        <v>446.0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ht="15.75" customHeight="1">
      <c r="A68" s="53" t="s">
        <v>383</v>
      </c>
      <c r="B68" s="22">
        <v>1295.0</v>
      </c>
      <c r="C68" s="22">
        <v>996.0</v>
      </c>
      <c r="D68" s="52">
        <v>230.0</v>
      </c>
      <c r="E68" s="52">
        <v>491.0</v>
      </c>
      <c r="F68" s="52">
        <v>232.0</v>
      </c>
      <c r="G68" s="52">
        <v>43.0</v>
      </c>
      <c r="H68" s="52">
        <v>299.0</v>
      </c>
      <c r="I68" s="47">
        <v>3867.0</v>
      </c>
      <c r="J68" s="22">
        <v>2848.0</v>
      </c>
      <c r="K68" s="52">
        <v>619.0</v>
      </c>
      <c r="L68" s="52">
        <v>1410.0</v>
      </c>
      <c r="M68" s="52">
        <v>707.0</v>
      </c>
      <c r="N68" s="52">
        <v>112.0</v>
      </c>
      <c r="O68" s="105">
        <v>1019.0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ht="15.75" customHeight="1">
      <c r="A69" s="2" t="s">
        <v>384</v>
      </c>
      <c r="B69" s="22">
        <v>2622.0</v>
      </c>
      <c r="C69" s="22">
        <v>2264.0</v>
      </c>
      <c r="D69" s="52">
        <v>419.0</v>
      </c>
      <c r="E69" s="52">
        <v>1026.0</v>
      </c>
      <c r="F69" s="52">
        <v>702.0</v>
      </c>
      <c r="G69" s="52">
        <v>117.0</v>
      </c>
      <c r="H69" s="52">
        <v>358.0</v>
      </c>
      <c r="I69" s="47">
        <v>8517.0</v>
      </c>
      <c r="J69" s="22">
        <v>6939.0</v>
      </c>
      <c r="K69" s="52">
        <v>1225.0</v>
      </c>
      <c r="L69" s="52">
        <v>2785.0</v>
      </c>
      <c r="M69" s="52">
        <v>2362.0</v>
      </c>
      <c r="N69" s="52">
        <v>567.0</v>
      </c>
      <c r="O69" s="105">
        <v>1578.0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ht="15.75" customHeight="1">
      <c r="A70" s="2" t="s">
        <v>385</v>
      </c>
      <c r="B70" s="22">
        <v>1395.0</v>
      </c>
      <c r="C70" s="22">
        <v>895.0</v>
      </c>
      <c r="D70" s="52">
        <v>116.0</v>
      </c>
      <c r="E70" s="52">
        <v>321.0</v>
      </c>
      <c r="F70" s="52">
        <v>384.0</v>
      </c>
      <c r="G70" s="52">
        <v>74.0</v>
      </c>
      <c r="H70" s="52">
        <v>500.0</v>
      </c>
      <c r="I70" s="47">
        <v>8357.0</v>
      </c>
      <c r="J70" s="22">
        <v>4395.0</v>
      </c>
      <c r="K70" s="52">
        <v>559.0</v>
      </c>
      <c r="L70" s="52">
        <v>1373.0</v>
      </c>
      <c r="M70" s="52">
        <v>1846.0</v>
      </c>
      <c r="N70" s="52">
        <v>617.0</v>
      </c>
      <c r="O70" s="105">
        <v>3962.0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ht="15.75" customHeight="1">
      <c r="A71" s="2" t="s">
        <v>386</v>
      </c>
      <c r="B71" s="22">
        <v>919.0</v>
      </c>
      <c r="C71" s="22">
        <v>474.0</v>
      </c>
      <c r="D71" s="52">
        <v>66.0</v>
      </c>
      <c r="E71" s="52">
        <v>229.0</v>
      </c>
      <c r="F71" s="52">
        <v>151.0</v>
      </c>
      <c r="G71" s="52">
        <v>28.0</v>
      </c>
      <c r="H71" s="52">
        <v>445.0</v>
      </c>
      <c r="I71" s="47">
        <v>2598.0</v>
      </c>
      <c r="J71" s="22">
        <v>1249.0</v>
      </c>
      <c r="K71" s="52">
        <v>193.0</v>
      </c>
      <c r="L71" s="52">
        <v>584.0</v>
      </c>
      <c r="M71" s="52">
        <v>392.0</v>
      </c>
      <c r="N71" s="52">
        <v>80.0</v>
      </c>
      <c r="O71" s="105">
        <v>1349.0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ht="15.75" customHeight="1">
      <c r="A72" s="21"/>
      <c r="B72" s="22"/>
      <c r="C72" s="22"/>
      <c r="D72" s="22"/>
      <c r="E72" s="22"/>
      <c r="F72" s="22"/>
      <c r="G72" s="22"/>
      <c r="H72" s="22"/>
      <c r="I72" s="47"/>
      <c r="J72" s="22"/>
      <c r="K72" s="22"/>
      <c r="L72" s="22"/>
      <c r="M72" s="22"/>
      <c r="N72" s="22"/>
      <c r="O72" s="46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ht="15.75" customHeight="1">
      <c r="A73" s="75" t="s">
        <v>28</v>
      </c>
      <c r="B73" s="76">
        <v>10850.0</v>
      </c>
      <c r="C73" s="76">
        <v>8761.0</v>
      </c>
      <c r="D73" s="76">
        <v>1170.0</v>
      </c>
      <c r="E73" s="76">
        <v>3157.0</v>
      </c>
      <c r="F73" s="76">
        <v>3871.0</v>
      </c>
      <c r="G73" s="76">
        <v>563.0</v>
      </c>
      <c r="H73" s="76">
        <v>2089.0</v>
      </c>
      <c r="I73" s="101">
        <v>38215.0</v>
      </c>
      <c r="J73" s="76">
        <v>30083.0</v>
      </c>
      <c r="K73" s="76">
        <v>3617.0</v>
      </c>
      <c r="L73" s="76">
        <v>11069.0</v>
      </c>
      <c r="M73" s="76">
        <v>13080.0</v>
      </c>
      <c r="N73" s="76">
        <v>2317.0</v>
      </c>
      <c r="O73" s="77">
        <v>8132.0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0"/>
      <c r="AB73" s="18"/>
      <c r="AC73" s="18"/>
      <c r="AD73" s="18"/>
      <c r="AE73" s="18"/>
      <c r="AF73" s="18"/>
      <c r="AG73" s="18"/>
      <c r="AH73" s="18"/>
      <c r="AI73" s="18"/>
    </row>
    <row r="74" ht="15.75" customHeight="1">
      <c r="A74" s="21" t="s">
        <v>387</v>
      </c>
      <c r="B74" s="22">
        <v>3292.0</v>
      </c>
      <c r="C74" s="22">
        <v>2525.0</v>
      </c>
      <c r="D74" s="22">
        <v>287.0</v>
      </c>
      <c r="E74" s="22">
        <v>911.0</v>
      </c>
      <c r="F74" s="22">
        <v>1205.0</v>
      </c>
      <c r="G74" s="22">
        <v>122.0</v>
      </c>
      <c r="H74" s="22">
        <v>767.0</v>
      </c>
      <c r="I74" s="47">
        <v>13658.0</v>
      </c>
      <c r="J74" s="22">
        <v>10186.0</v>
      </c>
      <c r="K74" s="22">
        <v>1012.0</v>
      </c>
      <c r="L74" s="22">
        <v>4689.0</v>
      </c>
      <c r="M74" s="22">
        <v>4098.0</v>
      </c>
      <c r="N74" s="22">
        <v>387.0</v>
      </c>
      <c r="O74" s="46">
        <v>3472.0</v>
      </c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</row>
    <row r="75" ht="15.75" customHeight="1">
      <c r="A75" s="21" t="s">
        <v>388</v>
      </c>
      <c r="B75" s="22">
        <v>1164.0</v>
      </c>
      <c r="C75" s="22">
        <v>949.0</v>
      </c>
      <c r="D75" s="22">
        <v>108.0</v>
      </c>
      <c r="E75" s="22">
        <v>402.0</v>
      </c>
      <c r="F75" s="22">
        <v>350.0</v>
      </c>
      <c r="G75" s="22">
        <v>89.0</v>
      </c>
      <c r="H75" s="22">
        <v>215.0</v>
      </c>
      <c r="I75" s="47">
        <v>4002.0</v>
      </c>
      <c r="J75" s="22">
        <v>3129.0</v>
      </c>
      <c r="K75" s="22">
        <v>293.0</v>
      </c>
      <c r="L75" s="22">
        <v>1188.0</v>
      </c>
      <c r="M75" s="22">
        <v>1310.0</v>
      </c>
      <c r="N75" s="22">
        <v>338.0</v>
      </c>
      <c r="O75" s="46">
        <v>873.0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</row>
    <row r="76" ht="15.75" customHeight="1">
      <c r="A76" s="21" t="s">
        <v>389</v>
      </c>
      <c r="B76" s="22">
        <v>3716.0</v>
      </c>
      <c r="C76" s="22">
        <v>3197.0</v>
      </c>
      <c r="D76" s="22">
        <v>405.0</v>
      </c>
      <c r="E76" s="22">
        <v>1147.0</v>
      </c>
      <c r="F76" s="22">
        <v>1462.0</v>
      </c>
      <c r="G76" s="22">
        <v>183.0</v>
      </c>
      <c r="H76" s="22">
        <v>519.0</v>
      </c>
      <c r="I76" s="47">
        <v>12589.0</v>
      </c>
      <c r="J76" s="22">
        <v>10628.0</v>
      </c>
      <c r="K76" s="22">
        <v>1310.0</v>
      </c>
      <c r="L76" s="22">
        <v>3377.0</v>
      </c>
      <c r="M76" s="22">
        <v>5299.0</v>
      </c>
      <c r="N76" s="22">
        <v>642.0</v>
      </c>
      <c r="O76" s="46">
        <v>1961.0</v>
      </c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</row>
    <row r="77" ht="15.75" customHeight="1">
      <c r="A77" s="21" t="s">
        <v>390</v>
      </c>
      <c r="B77" s="22">
        <v>477.0</v>
      </c>
      <c r="C77" s="22">
        <v>339.0</v>
      </c>
      <c r="D77" s="22">
        <v>72.0</v>
      </c>
      <c r="E77" s="22">
        <v>120.0</v>
      </c>
      <c r="F77" s="22">
        <v>123.0</v>
      </c>
      <c r="G77" s="22">
        <v>24.0</v>
      </c>
      <c r="H77" s="22">
        <v>138.0</v>
      </c>
      <c r="I77" s="47">
        <v>1364.0</v>
      </c>
      <c r="J77" s="22">
        <v>950.0</v>
      </c>
      <c r="K77" s="22">
        <v>194.0</v>
      </c>
      <c r="L77" s="22">
        <v>347.0</v>
      </c>
      <c r="M77" s="22">
        <v>336.0</v>
      </c>
      <c r="N77" s="22">
        <v>73.0</v>
      </c>
      <c r="O77" s="46">
        <v>414.0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</row>
    <row r="78" ht="15.75" customHeight="1">
      <c r="A78" s="21" t="s">
        <v>391</v>
      </c>
      <c r="B78" s="22">
        <v>826.0</v>
      </c>
      <c r="C78" s="22">
        <v>717.0</v>
      </c>
      <c r="D78" s="22">
        <v>142.0</v>
      </c>
      <c r="E78" s="22">
        <v>289.0</v>
      </c>
      <c r="F78" s="22">
        <v>241.0</v>
      </c>
      <c r="G78" s="22">
        <v>45.0</v>
      </c>
      <c r="H78" s="22">
        <v>109.0</v>
      </c>
      <c r="I78" s="47">
        <v>2587.0</v>
      </c>
      <c r="J78" s="22">
        <v>2150.0</v>
      </c>
      <c r="K78" s="22">
        <v>430.0</v>
      </c>
      <c r="L78" s="22">
        <v>813.0</v>
      </c>
      <c r="M78" s="22">
        <v>781.0</v>
      </c>
      <c r="N78" s="22">
        <v>126.0</v>
      </c>
      <c r="O78" s="46">
        <v>437.0</v>
      </c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</row>
    <row r="79" ht="15.75" customHeight="1">
      <c r="A79" s="21" t="s">
        <v>392</v>
      </c>
      <c r="B79" s="22">
        <v>1375.0</v>
      </c>
      <c r="C79" s="22">
        <v>1034.0</v>
      </c>
      <c r="D79" s="22">
        <v>156.0</v>
      </c>
      <c r="E79" s="22">
        <v>288.0</v>
      </c>
      <c r="F79" s="22">
        <v>490.0</v>
      </c>
      <c r="G79" s="22">
        <v>100.0</v>
      </c>
      <c r="H79" s="22">
        <v>341.0</v>
      </c>
      <c r="I79" s="47">
        <v>4015.0</v>
      </c>
      <c r="J79" s="22">
        <v>3040.0</v>
      </c>
      <c r="K79" s="22">
        <v>378.0</v>
      </c>
      <c r="L79" s="22">
        <v>655.0</v>
      </c>
      <c r="M79" s="22">
        <v>1256.0</v>
      </c>
      <c r="N79" s="22">
        <v>751.0</v>
      </c>
      <c r="O79" s="46">
        <v>975.0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</row>
    <row r="80" ht="15.75" customHeight="1">
      <c r="A80" s="21"/>
      <c r="B80" s="22"/>
      <c r="C80" s="22"/>
      <c r="D80" s="22"/>
      <c r="E80" s="22"/>
      <c r="F80" s="22"/>
      <c r="G80" s="22"/>
      <c r="H80" s="22"/>
      <c r="I80" s="47"/>
      <c r="J80" s="22"/>
      <c r="K80" s="22"/>
      <c r="L80" s="22"/>
      <c r="M80" s="22"/>
      <c r="N80" s="22"/>
      <c r="O80" s="46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ht="15.75" customHeight="1">
      <c r="A81" s="75" t="s">
        <v>29</v>
      </c>
      <c r="B81" s="76">
        <v>19077.0</v>
      </c>
      <c r="C81" s="76">
        <v>15975.0</v>
      </c>
      <c r="D81" s="76">
        <v>2243.0</v>
      </c>
      <c r="E81" s="76">
        <v>5976.0</v>
      </c>
      <c r="F81" s="76">
        <v>6851.0</v>
      </c>
      <c r="G81" s="76">
        <v>905.0</v>
      </c>
      <c r="H81" s="76">
        <v>3102.0</v>
      </c>
      <c r="I81" s="101">
        <v>76034.0</v>
      </c>
      <c r="J81" s="76">
        <v>60687.0</v>
      </c>
      <c r="K81" s="76">
        <v>8015.0</v>
      </c>
      <c r="L81" s="76">
        <v>21034.0</v>
      </c>
      <c r="M81" s="76">
        <v>27751.0</v>
      </c>
      <c r="N81" s="76">
        <v>3887.0</v>
      </c>
      <c r="O81" s="77">
        <v>15347.0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20"/>
      <c r="AB81" s="18"/>
      <c r="AC81" s="18"/>
      <c r="AD81" s="18"/>
      <c r="AE81" s="18"/>
      <c r="AF81" s="18"/>
      <c r="AG81" s="18"/>
      <c r="AH81" s="18"/>
      <c r="AI81" s="18"/>
    </row>
    <row r="82" ht="15.75" customHeight="1">
      <c r="A82" s="45" t="s">
        <v>393</v>
      </c>
      <c r="B82" s="22">
        <v>1674.0</v>
      </c>
      <c r="C82" s="22">
        <v>1026.0</v>
      </c>
      <c r="D82" s="22">
        <v>150.0</v>
      </c>
      <c r="E82" s="22">
        <v>521.0</v>
      </c>
      <c r="F82" s="22">
        <v>289.0</v>
      </c>
      <c r="G82" s="22">
        <v>66.0</v>
      </c>
      <c r="H82" s="22">
        <v>648.0</v>
      </c>
      <c r="I82" s="47">
        <v>7009.0</v>
      </c>
      <c r="J82" s="22">
        <v>3275.0</v>
      </c>
      <c r="K82" s="22">
        <v>437.0</v>
      </c>
      <c r="L82" s="22">
        <v>1741.0</v>
      </c>
      <c r="M82" s="22">
        <v>892.0</v>
      </c>
      <c r="N82" s="22">
        <v>205.0</v>
      </c>
      <c r="O82" s="46">
        <v>3734.0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ht="15.75" customHeight="1">
      <c r="A83" s="45" t="s">
        <v>394</v>
      </c>
      <c r="B83" s="22">
        <v>601.0</v>
      </c>
      <c r="C83" s="22">
        <v>461.0</v>
      </c>
      <c r="D83" s="22">
        <v>170.0</v>
      </c>
      <c r="E83" s="22">
        <v>166.0</v>
      </c>
      <c r="F83" s="22">
        <v>113.0</v>
      </c>
      <c r="G83" s="22">
        <v>12.0</v>
      </c>
      <c r="H83" s="22">
        <v>140.0</v>
      </c>
      <c r="I83" s="47">
        <v>1751.0</v>
      </c>
      <c r="J83" s="22">
        <v>1152.0</v>
      </c>
      <c r="K83" s="22">
        <v>429.0</v>
      </c>
      <c r="L83" s="22">
        <v>387.0</v>
      </c>
      <c r="M83" s="22">
        <v>298.0</v>
      </c>
      <c r="N83" s="22">
        <v>38.0</v>
      </c>
      <c r="O83" s="46">
        <v>599.0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ht="15.75" customHeight="1">
      <c r="A84" s="45" t="s">
        <v>395</v>
      </c>
      <c r="B84" s="22">
        <v>1900.0</v>
      </c>
      <c r="C84" s="22">
        <v>1626.0</v>
      </c>
      <c r="D84" s="22">
        <v>158.0</v>
      </c>
      <c r="E84" s="22">
        <v>591.0</v>
      </c>
      <c r="F84" s="22">
        <v>813.0</v>
      </c>
      <c r="G84" s="22">
        <v>64.0</v>
      </c>
      <c r="H84" s="22">
        <v>274.0</v>
      </c>
      <c r="I84" s="47">
        <v>5869.0</v>
      </c>
      <c r="J84" s="22">
        <v>4827.0</v>
      </c>
      <c r="K84" s="22">
        <v>440.0</v>
      </c>
      <c r="L84" s="22">
        <v>2051.0</v>
      </c>
      <c r="M84" s="22">
        <v>2175.0</v>
      </c>
      <c r="N84" s="22">
        <v>161.0</v>
      </c>
      <c r="O84" s="46">
        <v>1042.0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ht="15.75" customHeight="1">
      <c r="A85" s="45" t="s">
        <v>396</v>
      </c>
      <c r="B85" s="22">
        <v>408.0</v>
      </c>
      <c r="C85" s="22">
        <v>290.0</v>
      </c>
      <c r="D85" s="22">
        <v>42.0</v>
      </c>
      <c r="E85" s="22">
        <v>148.0</v>
      </c>
      <c r="F85" s="22">
        <v>88.0</v>
      </c>
      <c r="G85" s="22">
        <v>12.0</v>
      </c>
      <c r="H85" s="22">
        <v>118.0</v>
      </c>
      <c r="I85" s="47">
        <v>1470.0</v>
      </c>
      <c r="J85" s="22">
        <v>906.0</v>
      </c>
      <c r="K85" s="22">
        <v>126.0</v>
      </c>
      <c r="L85" s="22">
        <v>475.0</v>
      </c>
      <c r="M85" s="22">
        <v>265.0</v>
      </c>
      <c r="N85" s="22">
        <v>40.0</v>
      </c>
      <c r="O85" s="46">
        <v>564.0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ht="15.75" customHeight="1">
      <c r="A86" s="45" t="s">
        <v>397</v>
      </c>
      <c r="B86" s="22">
        <v>7362.0</v>
      </c>
      <c r="C86" s="22">
        <v>6246.0</v>
      </c>
      <c r="D86" s="22">
        <v>635.0</v>
      </c>
      <c r="E86" s="22">
        <v>2213.0</v>
      </c>
      <c r="F86" s="22">
        <v>3000.0</v>
      </c>
      <c r="G86" s="22">
        <v>398.0</v>
      </c>
      <c r="H86" s="22">
        <v>1116.0</v>
      </c>
      <c r="I86" s="47">
        <v>33081.0</v>
      </c>
      <c r="J86" s="22">
        <v>27093.0</v>
      </c>
      <c r="K86" s="22">
        <v>2348.0</v>
      </c>
      <c r="L86" s="22">
        <v>8170.0</v>
      </c>
      <c r="M86" s="22">
        <v>14588.0</v>
      </c>
      <c r="N86" s="22">
        <v>1987.0</v>
      </c>
      <c r="O86" s="46">
        <v>5988.0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ht="15.75" customHeight="1">
      <c r="A87" s="45" t="s">
        <v>398</v>
      </c>
      <c r="B87" s="22">
        <v>7132.0</v>
      </c>
      <c r="C87" s="22">
        <v>6326.0</v>
      </c>
      <c r="D87" s="22">
        <v>1088.0</v>
      </c>
      <c r="E87" s="22">
        <v>2337.0</v>
      </c>
      <c r="F87" s="22">
        <v>2548.0</v>
      </c>
      <c r="G87" s="22">
        <v>353.0</v>
      </c>
      <c r="H87" s="22">
        <v>806.0</v>
      </c>
      <c r="I87" s="47">
        <v>26854.0</v>
      </c>
      <c r="J87" s="22">
        <v>23434.0</v>
      </c>
      <c r="K87" s="22">
        <v>4235.0</v>
      </c>
      <c r="L87" s="22">
        <v>8210.0</v>
      </c>
      <c r="M87" s="22">
        <v>9533.0</v>
      </c>
      <c r="N87" s="22">
        <v>1456.0</v>
      </c>
      <c r="O87" s="46">
        <v>3420.0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ht="15.75" customHeight="1">
      <c r="A88" s="21"/>
      <c r="B88" s="22"/>
      <c r="C88" s="22"/>
      <c r="D88" s="22"/>
      <c r="E88" s="22"/>
      <c r="F88" s="22"/>
      <c r="G88" s="22"/>
      <c r="H88" s="22"/>
      <c r="I88" s="47"/>
      <c r="J88" s="22"/>
      <c r="K88" s="22"/>
      <c r="L88" s="22"/>
      <c r="M88" s="22"/>
      <c r="N88" s="22"/>
      <c r="O88" s="46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ht="15.75" customHeight="1">
      <c r="A89" s="75" t="s">
        <v>30</v>
      </c>
      <c r="B89" s="76">
        <v>22539.0</v>
      </c>
      <c r="C89" s="76">
        <v>18144.0</v>
      </c>
      <c r="D89" s="76">
        <v>2122.0</v>
      </c>
      <c r="E89" s="76">
        <v>5514.0</v>
      </c>
      <c r="F89" s="76">
        <v>9679.0</v>
      </c>
      <c r="G89" s="76">
        <v>829.0</v>
      </c>
      <c r="H89" s="76">
        <v>4395.0</v>
      </c>
      <c r="I89" s="101">
        <v>131412.0</v>
      </c>
      <c r="J89" s="76">
        <v>98566.0</v>
      </c>
      <c r="K89" s="76">
        <v>8112.0</v>
      </c>
      <c r="L89" s="76">
        <v>25746.0</v>
      </c>
      <c r="M89" s="76">
        <v>57705.0</v>
      </c>
      <c r="N89" s="76">
        <v>7003.0</v>
      </c>
      <c r="O89" s="77">
        <v>32846.0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20"/>
      <c r="AB89" s="18"/>
      <c r="AC89" s="18"/>
      <c r="AD89" s="18"/>
      <c r="AE89" s="18"/>
      <c r="AF89" s="18"/>
      <c r="AG89" s="18"/>
      <c r="AH89" s="18"/>
      <c r="AI89" s="18"/>
    </row>
    <row r="90" ht="15.75" customHeight="1">
      <c r="A90" s="45" t="s">
        <v>399</v>
      </c>
      <c r="B90" s="22">
        <v>3694.0</v>
      </c>
      <c r="C90" s="22">
        <v>2562.0</v>
      </c>
      <c r="D90" s="22">
        <v>351.0</v>
      </c>
      <c r="E90" s="22">
        <v>1127.0</v>
      </c>
      <c r="F90" s="22">
        <v>979.0</v>
      </c>
      <c r="G90" s="22">
        <v>105.0</v>
      </c>
      <c r="H90" s="22">
        <v>1132.0</v>
      </c>
      <c r="I90" s="47">
        <v>12930.0</v>
      </c>
      <c r="J90" s="22">
        <v>7527.0</v>
      </c>
      <c r="K90" s="22">
        <v>866.0</v>
      </c>
      <c r="L90" s="22">
        <v>3246.0</v>
      </c>
      <c r="M90" s="22">
        <v>2998.0</v>
      </c>
      <c r="N90" s="22">
        <v>417.0</v>
      </c>
      <c r="O90" s="46">
        <v>5403.0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ht="15.75" customHeight="1">
      <c r="A91" s="45" t="s">
        <v>400</v>
      </c>
      <c r="B91" s="22">
        <v>15878.0</v>
      </c>
      <c r="C91" s="22">
        <v>13100.0</v>
      </c>
      <c r="D91" s="22">
        <v>1386.0</v>
      </c>
      <c r="E91" s="22">
        <v>3394.0</v>
      </c>
      <c r="F91" s="22">
        <v>7767.0</v>
      </c>
      <c r="G91" s="22">
        <v>553.0</v>
      </c>
      <c r="H91" s="22">
        <v>2778.0</v>
      </c>
      <c r="I91" s="47">
        <v>107642.0</v>
      </c>
      <c r="J91" s="22">
        <v>82709.0</v>
      </c>
      <c r="K91" s="22">
        <v>6205.0</v>
      </c>
      <c r="L91" s="22">
        <v>19158.0</v>
      </c>
      <c r="M91" s="22">
        <v>51578.0</v>
      </c>
      <c r="N91" s="22">
        <v>5768.0</v>
      </c>
      <c r="O91" s="46">
        <v>24933.0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ht="15.75" customHeight="1">
      <c r="A92" s="45" t="s">
        <v>401</v>
      </c>
      <c r="B92" s="22">
        <v>2632.0</v>
      </c>
      <c r="C92" s="22">
        <v>2220.0</v>
      </c>
      <c r="D92" s="22">
        <v>355.0</v>
      </c>
      <c r="E92" s="22">
        <v>852.0</v>
      </c>
      <c r="F92" s="22">
        <v>863.0</v>
      </c>
      <c r="G92" s="22">
        <v>150.0</v>
      </c>
      <c r="H92" s="22">
        <v>412.0</v>
      </c>
      <c r="I92" s="47">
        <v>9772.0</v>
      </c>
      <c r="J92" s="22">
        <v>7623.0</v>
      </c>
      <c r="K92" s="22">
        <v>940.0</v>
      </c>
      <c r="L92" s="22">
        <v>2957.0</v>
      </c>
      <c r="M92" s="22">
        <v>2953.0</v>
      </c>
      <c r="N92" s="22">
        <v>773.0</v>
      </c>
      <c r="O92" s="46">
        <v>2149.0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ht="15.75" customHeight="1">
      <c r="A93" s="45" t="s">
        <v>402</v>
      </c>
      <c r="B93" s="22">
        <v>335.0</v>
      </c>
      <c r="C93" s="22">
        <v>262.0</v>
      </c>
      <c r="D93" s="22">
        <v>30.0</v>
      </c>
      <c r="E93" s="22">
        <v>141.0</v>
      </c>
      <c r="F93" s="22">
        <v>70.0</v>
      </c>
      <c r="G93" s="22">
        <v>21.0</v>
      </c>
      <c r="H93" s="22">
        <v>73.0</v>
      </c>
      <c r="I93" s="47">
        <v>1068.0</v>
      </c>
      <c r="J93" s="22">
        <v>707.0</v>
      </c>
      <c r="K93" s="22">
        <v>101.0</v>
      </c>
      <c r="L93" s="22">
        <v>385.0</v>
      </c>
      <c r="M93" s="22">
        <v>176.0</v>
      </c>
      <c r="N93" s="22">
        <v>45.0</v>
      </c>
      <c r="O93" s="46">
        <v>361.0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ht="15.75" customHeight="1">
      <c r="A94" s="21"/>
      <c r="B94" s="22"/>
      <c r="C94" s="22"/>
      <c r="D94" s="22"/>
      <c r="E94" s="22"/>
      <c r="F94" s="22"/>
      <c r="G94" s="22"/>
      <c r="H94" s="22"/>
      <c r="I94" s="47"/>
      <c r="J94" s="22"/>
      <c r="K94" s="22"/>
      <c r="L94" s="22"/>
      <c r="M94" s="22"/>
      <c r="N94" s="22"/>
      <c r="O94" s="46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ht="15.75" customHeight="1">
      <c r="A95" s="75" t="s">
        <v>31</v>
      </c>
      <c r="B95" s="76">
        <v>10274.0</v>
      </c>
      <c r="C95" s="76">
        <v>8607.0</v>
      </c>
      <c r="D95" s="76">
        <v>1129.0</v>
      </c>
      <c r="E95" s="76">
        <v>2643.0</v>
      </c>
      <c r="F95" s="76">
        <v>4646.0</v>
      </c>
      <c r="G95" s="76">
        <v>189.0</v>
      </c>
      <c r="H95" s="76">
        <v>1667.0</v>
      </c>
      <c r="I95" s="101">
        <v>35522.0</v>
      </c>
      <c r="J95" s="76">
        <v>28093.0</v>
      </c>
      <c r="K95" s="76">
        <v>3702.0</v>
      </c>
      <c r="L95" s="76">
        <v>8425.0</v>
      </c>
      <c r="M95" s="76">
        <v>15343.0</v>
      </c>
      <c r="N95" s="76">
        <v>623.0</v>
      </c>
      <c r="O95" s="77">
        <v>7429.0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20"/>
      <c r="AB95" s="18"/>
      <c r="AC95" s="18"/>
      <c r="AD95" s="18"/>
      <c r="AE95" s="18"/>
      <c r="AF95" s="18"/>
      <c r="AG95" s="18"/>
      <c r="AH95" s="18"/>
      <c r="AI95" s="18"/>
    </row>
    <row r="96" ht="15.75" customHeight="1">
      <c r="A96" s="45" t="s">
        <v>403</v>
      </c>
      <c r="B96" s="22">
        <v>449.0</v>
      </c>
      <c r="C96" s="22">
        <v>352.0</v>
      </c>
      <c r="D96" s="22">
        <v>108.0</v>
      </c>
      <c r="E96" s="22">
        <v>157.0</v>
      </c>
      <c r="F96" s="22">
        <v>78.0</v>
      </c>
      <c r="G96" s="22">
        <v>9.0</v>
      </c>
      <c r="H96" s="22">
        <v>97.0</v>
      </c>
      <c r="I96" s="47">
        <v>1376.0</v>
      </c>
      <c r="J96" s="22">
        <v>1088.0</v>
      </c>
      <c r="K96" s="22">
        <v>304.0</v>
      </c>
      <c r="L96" s="22">
        <v>528.0</v>
      </c>
      <c r="M96" s="22">
        <v>219.0</v>
      </c>
      <c r="N96" s="22">
        <v>37.0</v>
      </c>
      <c r="O96" s="46">
        <v>288.0</v>
      </c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</row>
    <row r="97" ht="15.75" customHeight="1">
      <c r="A97" s="45" t="s">
        <v>404</v>
      </c>
      <c r="B97" s="22">
        <v>893.0</v>
      </c>
      <c r="C97" s="22">
        <v>766.0</v>
      </c>
      <c r="D97" s="22">
        <v>133.0</v>
      </c>
      <c r="E97" s="22">
        <v>278.0</v>
      </c>
      <c r="F97" s="22">
        <v>325.0</v>
      </c>
      <c r="G97" s="22">
        <v>30.0</v>
      </c>
      <c r="H97" s="22">
        <v>127.0</v>
      </c>
      <c r="I97" s="47">
        <v>2215.0</v>
      </c>
      <c r="J97" s="22">
        <v>1829.0</v>
      </c>
      <c r="K97" s="22">
        <v>326.0</v>
      </c>
      <c r="L97" s="22">
        <v>623.0</v>
      </c>
      <c r="M97" s="22">
        <v>782.0</v>
      </c>
      <c r="N97" s="22">
        <v>98.0</v>
      </c>
      <c r="O97" s="46">
        <v>386.0</v>
      </c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</row>
    <row r="98" ht="15.75" customHeight="1">
      <c r="A98" s="45" t="s">
        <v>405</v>
      </c>
      <c r="B98" s="22">
        <v>6083.0</v>
      </c>
      <c r="C98" s="22">
        <v>5088.0</v>
      </c>
      <c r="D98" s="22">
        <v>362.0</v>
      </c>
      <c r="E98" s="22">
        <v>1109.0</v>
      </c>
      <c r="F98" s="22">
        <v>3540.0</v>
      </c>
      <c r="G98" s="22">
        <v>77.0</v>
      </c>
      <c r="H98" s="22">
        <v>995.0</v>
      </c>
      <c r="I98" s="47">
        <v>23415.0</v>
      </c>
      <c r="J98" s="22">
        <v>18125.0</v>
      </c>
      <c r="K98" s="22">
        <v>1319.0</v>
      </c>
      <c r="L98" s="22">
        <v>4113.0</v>
      </c>
      <c r="M98" s="22">
        <v>12444.0</v>
      </c>
      <c r="N98" s="22">
        <v>249.0</v>
      </c>
      <c r="O98" s="46">
        <v>5290.0</v>
      </c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</row>
    <row r="99" ht="15.75" customHeight="1">
      <c r="A99" s="45" t="s">
        <v>406</v>
      </c>
      <c r="B99" s="22">
        <v>1060.0</v>
      </c>
      <c r="C99" s="22">
        <v>890.0</v>
      </c>
      <c r="D99" s="22">
        <v>102.0</v>
      </c>
      <c r="E99" s="22">
        <v>445.0</v>
      </c>
      <c r="F99" s="22">
        <v>309.0</v>
      </c>
      <c r="G99" s="22">
        <v>34.0</v>
      </c>
      <c r="H99" s="22">
        <v>170.0</v>
      </c>
      <c r="I99" s="47">
        <v>2787.0</v>
      </c>
      <c r="J99" s="22">
        <v>2271.0</v>
      </c>
      <c r="K99" s="22">
        <v>292.0</v>
      </c>
      <c r="L99" s="22">
        <v>1076.0</v>
      </c>
      <c r="M99" s="22">
        <v>798.0</v>
      </c>
      <c r="N99" s="22">
        <v>105.0</v>
      </c>
      <c r="O99" s="46">
        <v>516.0</v>
      </c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</row>
    <row r="100" ht="15.75" customHeight="1">
      <c r="A100" s="45" t="s">
        <v>407</v>
      </c>
      <c r="B100" s="22">
        <v>721.0</v>
      </c>
      <c r="C100" s="22">
        <v>608.0</v>
      </c>
      <c r="D100" s="22">
        <v>228.0</v>
      </c>
      <c r="E100" s="22">
        <v>316.0</v>
      </c>
      <c r="F100" s="22">
        <v>54.0</v>
      </c>
      <c r="G100" s="22">
        <v>10.0</v>
      </c>
      <c r="H100" s="22">
        <v>113.0</v>
      </c>
      <c r="I100" s="47">
        <v>2917.0</v>
      </c>
      <c r="J100" s="22">
        <v>2408.0</v>
      </c>
      <c r="K100" s="22">
        <v>897.0</v>
      </c>
      <c r="L100" s="22">
        <v>1199.0</v>
      </c>
      <c r="M100" s="22">
        <v>254.0</v>
      </c>
      <c r="N100" s="22">
        <v>58.0</v>
      </c>
      <c r="O100" s="46">
        <v>509.0</v>
      </c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</row>
    <row r="101" ht="15.75" customHeight="1">
      <c r="A101" s="45" t="s">
        <v>408</v>
      </c>
      <c r="B101" s="22">
        <v>1068.0</v>
      </c>
      <c r="C101" s="22">
        <v>903.0</v>
      </c>
      <c r="D101" s="22">
        <v>196.0</v>
      </c>
      <c r="E101" s="22">
        <v>338.0</v>
      </c>
      <c r="F101" s="22">
        <v>340.0</v>
      </c>
      <c r="G101" s="22">
        <v>29.0</v>
      </c>
      <c r="H101" s="22">
        <v>165.0</v>
      </c>
      <c r="I101" s="47">
        <v>2812.0</v>
      </c>
      <c r="J101" s="22">
        <v>2372.0</v>
      </c>
      <c r="K101" s="22">
        <v>564.0</v>
      </c>
      <c r="L101" s="22">
        <v>886.0</v>
      </c>
      <c r="M101" s="22">
        <v>846.0</v>
      </c>
      <c r="N101" s="22">
        <v>76.0</v>
      </c>
      <c r="O101" s="46">
        <v>440.0</v>
      </c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</row>
    <row r="102" ht="15.75" customHeight="1">
      <c r="A102" s="21"/>
      <c r="B102" s="22"/>
      <c r="C102" s="22"/>
      <c r="D102" s="22"/>
      <c r="E102" s="22"/>
      <c r="F102" s="22"/>
      <c r="G102" s="22"/>
      <c r="H102" s="22"/>
      <c r="I102" s="47"/>
      <c r="J102" s="22"/>
      <c r="K102" s="22"/>
      <c r="L102" s="22"/>
      <c r="M102" s="22"/>
      <c r="N102" s="22"/>
      <c r="O102" s="46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ht="15.75" customHeight="1">
      <c r="A103" s="75" t="s">
        <v>32</v>
      </c>
      <c r="B103" s="76">
        <v>7971.0</v>
      </c>
      <c r="C103" s="76">
        <v>6225.0</v>
      </c>
      <c r="D103" s="76">
        <v>855.0</v>
      </c>
      <c r="E103" s="76">
        <v>2866.0</v>
      </c>
      <c r="F103" s="76">
        <v>2290.0</v>
      </c>
      <c r="G103" s="76">
        <v>214.0</v>
      </c>
      <c r="H103" s="76">
        <v>1746.0</v>
      </c>
      <c r="I103" s="101">
        <v>22916.0</v>
      </c>
      <c r="J103" s="76">
        <v>17155.0</v>
      </c>
      <c r="K103" s="76">
        <v>2413.0</v>
      </c>
      <c r="L103" s="76">
        <v>7840.0</v>
      </c>
      <c r="M103" s="76">
        <v>6210.0</v>
      </c>
      <c r="N103" s="76">
        <v>692.0</v>
      </c>
      <c r="O103" s="77">
        <v>5761.0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20"/>
      <c r="AB103" s="18"/>
      <c r="AC103" s="18"/>
      <c r="AD103" s="18"/>
      <c r="AE103" s="18"/>
      <c r="AF103" s="18"/>
      <c r="AG103" s="18"/>
      <c r="AH103" s="18"/>
      <c r="AI103" s="18"/>
    </row>
    <row r="104" ht="15.75" customHeight="1">
      <c r="A104" s="45" t="s">
        <v>409</v>
      </c>
      <c r="B104" s="22">
        <v>936.0</v>
      </c>
      <c r="C104" s="22">
        <v>542.0</v>
      </c>
      <c r="D104" s="22">
        <v>27.0</v>
      </c>
      <c r="E104" s="22">
        <v>358.0</v>
      </c>
      <c r="F104" s="22">
        <v>140.0</v>
      </c>
      <c r="G104" s="22">
        <v>17.0</v>
      </c>
      <c r="H104" s="22">
        <v>394.0</v>
      </c>
      <c r="I104" s="47">
        <v>3446.0</v>
      </c>
      <c r="J104" s="22">
        <v>1651.0</v>
      </c>
      <c r="K104" s="22">
        <v>89.0</v>
      </c>
      <c r="L104" s="22">
        <v>1000.0</v>
      </c>
      <c r="M104" s="22">
        <v>420.0</v>
      </c>
      <c r="N104" s="22">
        <v>142.0</v>
      </c>
      <c r="O104" s="46">
        <v>1795.0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ht="15.75" customHeight="1">
      <c r="A105" s="45" t="s">
        <v>410</v>
      </c>
      <c r="B105" s="22">
        <v>2760.0</v>
      </c>
      <c r="C105" s="22">
        <v>2282.0</v>
      </c>
      <c r="D105" s="22">
        <v>161.0</v>
      </c>
      <c r="E105" s="22">
        <v>1052.0</v>
      </c>
      <c r="F105" s="22">
        <v>958.0</v>
      </c>
      <c r="G105" s="22">
        <v>111.0</v>
      </c>
      <c r="H105" s="22">
        <v>478.0</v>
      </c>
      <c r="I105" s="47">
        <v>7799.0</v>
      </c>
      <c r="J105" s="22">
        <v>6272.0</v>
      </c>
      <c r="K105" s="22">
        <v>459.0</v>
      </c>
      <c r="L105" s="22">
        <v>2960.0</v>
      </c>
      <c r="M105" s="22">
        <v>2553.0</v>
      </c>
      <c r="N105" s="22">
        <v>300.0</v>
      </c>
      <c r="O105" s="46">
        <v>1527.0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ht="15.75" customHeight="1">
      <c r="A106" s="45" t="s">
        <v>411</v>
      </c>
      <c r="B106" s="22">
        <v>2974.0</v>
      </c>
      <c r="C106" s="22">
        <v>2330.0</v>
      </c>
      <c r="D106" s="22">
        <v>331.0</v>
      </c>
      <c r="E106" s="22">
        <v>1124.0</v>
      </c>
      <c r="F106" s="22">
        <v>827.0</v>
      </c>
      <c r="G106" s="22">
        <v>48.0</v>
      </c>
      <c r="H106" s="22">
        <v>644.0</v>
      </c>
      <c r="I106" s="47">
        <v>8403.0</v>
      </c>
      <c r="J106" s="22">
        <v>6621.0</v>
      </c>
      <c r="K106" s="22">
        <v>1058.0</v>
      </c>
      <c r="L106" s="22">
        <v>3008.0</v>
      </c>
      <c r="M106" s="22">
        <v>2391.0</v>
      </c>
      <c r="N106" s="22">
        <v>164.0</v>
      </c>
      <c r="O106" s="46">
        <v>1782.0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ht="15.75" customHeight="1">
      <c r="A107" s="45" t="s">
        <v>412</v>
      </c>
      <c r="B107" s="22">
        <v>1301.0</v>
      </c>
      <c r="C107" s="22">
        <v>1071.0</v>
      </c>
      <c r="D107" s="22">
        <v>336.0</v>
      </c>
      <c r="E107" s="22">
        <v>332.0</v>
      </c>
      <c r="F107" s="22">
        <v>365.0</v>
      </c>
      <c r="G107" s="22">
        <v>38.0</v>
      </c>
      <c r="H107" s="22">
        <v>230.0</v>
      </c>
      <c r="I107" s="47">
        <v>3268.0</v>
      </c>
      <c r="J107" s="22">
        <v>2611.0</v>
      </c>
      <c r="K107" s="22">
        <v>807.0</v>
      </c>
      <c r="L107" s="22">
        <v>872.0</v>
      </c>
      <c r="M107" s="22">
        <v>846.0</v>
      </c>
      <c r="N107" s="22">
        <v>86.0</v>
      </c>
      <c r="O107" s="46">
        <v>657.0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ht="15.75" customHeight="1">
      <c r="A108" s="45"/>
      <c r="B108" s="22"/>
      <c r="C108" s="22"/>
      <c r="D108" s="22"/>
      <c r="E108" s="22"/>
      <c r="F108" s="22"/>
      <c r="G108" s="22"/>
      <c r="H108" s="22"/>
      <c r="I108" s="47"/>
      <c r="J108" s="22"/>
      <c r="K108" s="22"/>
      <c r="L108" s="22"/>
      <c r="M108" s="22"/>
      <c r="N108" s="22"/>
      <c r="O108" s="46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ht="15.75" customHeight="1">
      <c r="A109" s="75" t="s">
        <v>33</v>
      </c>
      <c r="B109" s="76">
        <v>11891.0</v>
      </c>
      <c r="C109" s="76">
        <v>8980.0</v>
      </c>
      <c r="D109" s="76">
        <v>1256.0</v>
      </c>
      <c r="E109" s="76">
        <v>3686.0</v>
      </c>
      <c r="F109" s="76">
        <v>3684.0</v>
      </c>
      <c r="G109" s="76">
        <v>354.0</v>
      </c>
      <c r="H109" s="76">
        <v>2911.0</v>
      </c>
      <c r="I109" s="101">
        <v>56065.0</v>
      </c>
      <c r="J109" s="76">
        <v>35026.0</v>
      </c>
      <c r="K109" s="76">
        <v>4131.0</v>
      </c>
      <c r="L109" s="76">
        <v>16013.0</v>
      </c>
      <c r="M109" s="76">
        <v>13645.0</v>
      </c>
      <c r="N109" s="76">
        <v>1237.0</v>
      </c>
      <c r="O109" s="77">
        <v>21039.0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20"/>
      <c r="AB109" s="18"/>
      <c r="AC109" s="18"/>
      <c r="AD109" s="18"/>
      <c r="AE109" s="18"/>
      <c r="AF109" s="18"/>
      <c r="AG109" s="18"/>
      <c r="AH109" s="18"/>
      <c r="AI109" s="18"/>
    </row>
    <row r="110" ht="15.75" customHeight="1">
      <c r="A110" s="45" t="s">
        <v>413</v>
      </c>
      <c r="B110" s="22">
        <v>2559.0</v>
      </c>
      <c r="C110" s="22">
        <v>1996.0</v>
      </c>
      <c r="D110" s="22">
        <v>293.0</v>
      </c>
      <c r="E110" s="22">
        <v>821.0</v>
      </c>
      <c r="F110" s="22">
        <v>827.0</v>
      </c>
      <c r="G110" s="22">
        <v>55.0</v>
      </c>
      <c r="H110" s="22">
        <v>563.0</v>
      </c>
      <c r="I110" s="47">
        <v>8439.0</v>
      </c>
      <c r="J110" s="22">
        <v>5582.0</v>
      </c>
      <c r="K110" s="22">
        <v>829.0</v>
      </c>
      <c r="L110" s="22">
        <v>2425.0</v>
      </c>
      <c r="M110" s="22">
        <v>2172.0</v>
      </c>
      <c r="N110" s="22">
        <v>156.0</v>
      </c>
      <c r="O110" s="46">
        <v>2857.0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ht="15.75" customHeight="1">
      <c r="A111" s="45" t="s">
        <v>414</v>
      </c>
      <c r="B111" s="22">
        <v>283.0</v>
      </c>
      <c r="C111" s="22">
        <v>171.0</v>
      </c>
      <c r="D111" s="22">
        <v>5.0</v>
      </c>
      <c r="E111" s="22">
        <v>99.0</v>
      </c>
      <c r="F111" s="22">
        <v>65.0</v>
      </c>
      <c r="G111" s="22">
        <v>2.0</v>
      </c>
      <c r="H111" s="22">
        <v>112.0</v>
      </c>
      <c r="I111" s="47">
        <v>969.0</v>
      </c>
      <c r="J111" s="22">
        <v>408.0</v>
      </c>
      <c r="K111" s="22">
        <v>8.0</v>
      </c>
      <c r="L111" s="22">
        <v>250.0</v>
      </c>
      <c r="M111" s="22">
        <v>147.0</v>
      </c>
      <c r="N111" s="22">
        <v>3.0</v>
      </c>
      <c r="O111" s="46">
        <v>561.0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ht="15.75" customHeight="1">
      <c r="A112" s="45" t="s">
        <v>415</v>
      </c>
      <c r="B112" s="22">
        <v>1409.0</v>
      </c>
      <c r="C112" s="22">
        <v>1210.0</v>
      </c>
      <c r="D112" s="22">
        <v>232.0</v>
      </c>
      <c r="E112" s="22">
        <v>432.0</v>
      </c>
      <c r="F112" s="22">
        <v>477.0</v>
      </c>
      <c r="G112" s="22">
        <v>69.0</v>
      </c>
      <c r="H112" s="22">
        <v>199.0</v>
      </c>
      <c r="I112" s="47">
        <v>4848.0</v>
      </c>
      <c r="J112" s="22">
        <v>4053.0</v>
      </c>
      <c r="K112" s="22">
        <v>690.0</v>
      </c>
      <c r="L112" s="22">
        <v>1517.0</v>
      </c>
      <c r="M112" s="22">
        <v>1616.0</v>
      </c>
      <c r="N112" s="22">
        <v>230.0</v>
      </c>
      <c r="O112" s="46">
        <v>795.0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ht="15.75" customHeight="1">
      <c r="A113" s="45" t="s">
        <v>416</v>
      </c>
      <c r="B113" s="22">
        <v>1896.0</v>
      </c>
      <c r="C113" s="22">
        <v>1597.0</v>
      </c>
      <c r="D113" s="22">
        <v>227.0</v>
      </c>
      <c r="E113" s="22">
        <v>958.0</v>
      </c>
      <c r="F113" s="22">
        <v>369.0</v>
      </c>
      <c r="G113" s="22">
        <v>43.0</v>
      </c>
      <c r="H113" s="22">
        <v>299.0</v>
      </c>
      <c r="I113" s="47">
        <v>7477.0</v>
      </c>
      <c r="J113" s="22">
        <v>6139.0</v>
      </c>
      <c r="K113" s="22">
        <v>764.0</v>
      </c>
      <c r="L113" s="22">
        <v>4052.0</v>
      </c>
      <c r="M113" s="22">
        <v>1148.0</v>
      </c>
      <c r="N113" s="22">
        <v>175.0</v>
      </c>
      <c r="O113" s="46">
        <v>1338.0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ht="15.75" customHeight="1">
      <c r="A114" s="45" t="s">
        <v>417</v>
      </c>
      <c r="B114" s="22">
        <v>5744.0</v>
      </c>
      <c r="C114" s="22">
        <v>4006.0</v>
      </c>
      <c r="D114" s="22">
        <v>499.0</v>
      </c>
      <c r="E114" s="22">
        <v>1376.0</v>
      </c>
      <c r="F114" s="22">
        <v>1946.0</v>
      </c>
      <c r="G114" s="22">
        <v>185.0</v>
      </c>
      <c r="H114" s="22">
        <v>1738.0</v>
      </c>
      <c r="I114" s="47">
        <v>34332.0</v>
      </c>
      <c r="J114" s="22">
        <v>18844.0</v>
      </c>
      <c r="K114" s="22">
        <v>1840.0</v>
      </c>
      <c r="L114" s="22">
        <v>7769.0</v>
      </c>
      <c r="M114" s="22">
        <v>8562.0</v>
      </c>
      <c r="N114" s="22">
        <v>673.0</v>
      </c>
      <c r="O114" s="46">
        <v>15488.0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ht="15.75" customHeight="1">
      <c r="A115" s="45"/>
      <c r="B115" s="22"/>
      <c r="C115" s="22"/>
      <c r="D115" s="22"/>
      <c r="E115" s="22"/>
      <c r="F115" s="22"/>
      <c r="G115" s="22"/>
      <c r="H115" s="22"/>
      <c r="I115" s="47"/>
      <c r="J115" s="22"/>
      <c r="K115" s="22"/>
      <c r="L115" s="22"/>
      <c r="M115" s="22"/>
      <c r="N115" s="22"/>
      <c r="O115" s="46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ht="15.75" customHeight="1">
      <c r="A116" s="75" t="s">
        <v>34</v>
      </c>
      <c r="B116" s="76">
        <v>19892.0</v>
      </c>
      <c r="C116" s="76">
        <v>16546.0</v>
      </c>
      <c r="D116" s="76">
        <v>1544.0</v>
      </c>
      <c r="E116" s="76">
        <v>6623.0</v>
      </c>
      <c r="F116" s="76">
        <v>7714.0</v>
      </c>
      <c r="G116" s="76">
        <v>665.0</v>
      </c>
      <c r="H116" s="76">
        <v>3346.0</v>
      </c>
      <c r="I116" s="101">
        <v>88790.0</v>
      </c>
      <c r="J116" s="76">
        <v>65927.0</v>
      </c>
      <c r="K116" s="76">
        <v>6449.0</v>
      </c>
      <c r="L116" s="76">
        <v>26380.0</v>
      </c>
      <c r="M116" s="76">
        <v>29825.0</v>
      </c>
      <c r="N116" s="76">
        <v>3273.0</v>
      </c>
      <c r="O116" s="77">
        <v>22863.0</v>
      </c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20"/>
      <c r="AB116" s="18"/>
      <c r="AC116" s="18"/>
      <c r="AD116" s="18"/>
      <c r="AE116" s="18"/>
      <c r="AF116" s="18"/>
      <c r="AG116" s="18"/>
      <c r="AH116" s="18"/>
      <c r="AI116" s="18"/>
    </row>
    <row r="117" ht="15.75" customHeight="1">
      <c r="A117" s="45" t="s">
        <v>418</v>
      </c>
      <c r="B117" s="22">
        <v>1812.0</v>
      </c>
      <c r="C117" s="22">
        <v>1663.0</v>
      </c>
      <c r="D117" s="22">
        <v>212.0</v>
      </c>
      <c r="E117" s="22">
        <v>751.0</v>
      </c>
      <c r="F117" s="22">
        <v>644.0</v>
      </c>
      <c r="G117" s="22">
        <v>56.0</v>
      </c>
      <c r="H117" s="22">
        <v>149.0</v>
      </c>
      <c r="I117" s="47">
        <v>5026.0</v>
      </c>
      <c r="J117" s="22">
        <v>4465.0</v>
      </c>
      <c r="K117" s="22">
        <v>567.0</v>
      </c>
      <c r="L117" s="22">
        <v>2059.0</v>
      </c>
      <c r="M117" s="22">
        <v>1665.0</v>
      </c>
      <c r="N117" s="22">
        <v>174.0</v>
      </c>
      <c r="O117" s="46">
        <v>561.0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ht="15.75" customHeight="1">
      <c r="A118" s="45" t="s">
        <v>419</v>
      </c>
      <c r="B118" s="22">
        <v>4003.0</v>
      </c>
      <c r="C118" s="22">
        <v>3690.0</v>
      </c>
      <c r="D118" s="22">
        <v>377.0</v>
      </c>
      <c r="E118" s="22">
        <v>1243.0</v>
      </c>
      <c r="F118" s="22">
        <v>1891.0</v>
      </c>
      <c r="G118" s="22">
        <v>179.0</v>
      </c>
      <c r="H118" s="22">
        <v>313.0</v>
      </c>
      <c r="I118" s="47">
        <v>13632.0</v>
      </c>
      <c r="J118" s="22">
        <v>11781.0</v>
      </c>
      <c r="K118" s="22">
        <v>1131.0</v>
      </c>
      <c r="L118" s="22">
        <v>3864.0</v>
      </c>
      <c r="M118" s="22">
        <v>5764.0</v>
      </c>
      <c r="N118" s="22">
        <v>1022.0</v>
      </c>
      <c r="O118" s="46">
        <v>1851.0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ht="15.75" customHeight="1">
      <c r="A119" s="45" t="s">
        <v>420</v>
      </c>
      <c r="B119" s="22">
        <v>12565.0</v>
      </c>
      <c r="C119" s="22">
        <v>9906.0</v>
      </c>
      <c r="D119" s="22">
        <v>791.0</v>
      </c>
      <c r="E119" s="22">
        <v>4056.0</v>
      </c>
      <c r="F119" s="22">
        <v>4690.0</v>
      </c>
      <c r="G119" s="22">
        <v>369.0</v>
      </c>
      <c r="H119" s="22">
        <v>2659.0</v>
      </c>
      <c r="I119" s="47">
        <v>65505.0</v>
      </c>
      <c r="J119" s="22">
        <v>46065.0</v>
      </c>
      <c r="K119" s="22">
        <v>4199.0</v>
      </c>
      <c r="L119" s="22">
        <v>18933.0</v>
      </c>
      <c r="M119" s="22">
        <v>21054.0</v>
      </c>
      <c r="N119" s="22">
        <v>1879.0</v>
      </c>
      <c r="O119" s="46">
        <v>19440.0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ht="15.75" customHeight="1">
      <c r="A120" s="45" t="s">
        <v>421</v>
      </c>
      <c r="B120" s="22">
        <v>317.0</v>
      </c>
      <c r="C120" s="22">
        <v>290.0</v>
      </c>
      <c r="D120" s="22">
        <v>63.0</v>
      </c>
      <c r="E120" s="22">
        <v>129.0</v>
      </c>
      <c r="F120" s="22">
        <v>91.0</v>
      </c>
      <c r="G120" s="22">
        <v>7.0</v>
      </c>
      <c r="H120" s="46">
        <v>27.0</v>
      </c>
      <c r="I120" s="47">
        <v>876.0</v>
      </c>
      <c r="J120" s="22">
        <v>798.0</v>
      </c>
      <c r="K120" s="22">
        <v>210.0</v>
      </c>
      <c r="L120" s="22">
        <v>313.0</v>
      </c>
      <c r="M120" s="22">
        <v>241.0</v>
      </c>
      <c r="N120" s="22">
        <v>34.0</v>
      </c>
      <c r="O120" s="46">
        <v>78.0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ht="15.75" customHeight="1">
      <c r="A121" s="45" t="s">
        <v>422</v>
      </c>
      <c r="B121" s="22">
        <v>1195.0</v>
      </c>
      <c r="C121" s="22">
        <v>997.0</v>
      </c>
      <c r="D121" s="22">
        <v>101.0</v>
      </c>
      <c r="E121" s="22">
        <v>444.0</v>
      </c>
      <c r="F121" s="22">
        <v>398.0</v>
      </c>
      <c r="G121" s="22">
        <v>54.0</v>
      </c>
      <c r="H121" s="46">
        <v>198.0</v>
      </c>
      <c r="I121" s="47">
        <v>3751.0</v>
      </c>
      <c r="J121" s="22">
        <v>2818.0</v>
      </c>
      <c r="K121" s="22">
        <v>342.0</v>
      </c>
      <c r="L121" s="22">
        <v>1211.0</v>
      </c>
      <c r="M121" s="22">
        <v>1101.0</v>
      </c>
      <c r="N121" s="22">
        <v>164.0</v>
      </c>
      <c r="O121" s="46">
        <v>933.0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ht="15.75" customHeight="1">
      <c r="A122" s="45"/>
      <c r="B122" s="22"/>
      <c r="C122" s="22"/>
      <c r="D122" s="22"/>
      <c r="E122" s="22"/>
      <c r="F122" s="22"/>
      <c r="G122" s="22"/>
      <c r="H122" s="46"/>
      <c r="I122" s="47"/>
      <c r="J122" s="22"/>
      <c r="K122" s="22"/>
      <c r="L122" s="22"/>
      <c r="M122" s="22"/>
      <c r="N122" s="22"/>
      <c r="O122" s="46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ht="15.75" customHeight="1">
      <c r="A123" s="75" t="s">
        <v>35</v>
      </c>
      <c r="B123" s="76">
        <v>12134.0</v>
      </c>
      <c r="C123" s="76">
        <v>10229.0</v>
      </c>
      <c r="D123" s="76">
        <v>1350.0</v>
      </c>
      <c r="E123" s="76">
        <v>4576.0</v>
      </c>
      <c r="F123" s="76">
        <v>3869.0</v>
      </c>
      <c r="G123" s="76">
        <v>434.0</v>
      </c>
      <c r="H123" s="76">
        <v>1905.0</v>
      </c>
      <c r="I123" s="101">
        <v>36706.0</v>
      </c>
      <c r="J123" s="76">
        <v>29976.0</v>
      </c>
      <c r="K123" s="76">
        <v>3996.0</v>
      </c>
      <c r="L123" s="76">
        <v>13137.0</v>
      </c>
      <c r="M123" s="76">
        <v>11073.0</v>
      </c>
      <c r="N123" s="76">
        <v>1770.0</v>
      </c>
      <c r="O123" s="77">
        <v>6730.0</v>
      </c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20"/>
      <c r="AB123" s="18"/>
      <c r="AC123" s="18"/>
      <c r="AD123" s="18"/>
      <c r="AE123" s="18"/>
      <c r="AF123" s="18"/>
      <c r="AG123" s="18"/>
      <c r="AH123" s="18"/>
      <c r="AI123" s="18"/>
    </row>
    <row r="124" ht="15.75" customHeight="1">
      <c r="A124" s="45" t="s">
        <v>423</v>
      </c>
      <c r="B124" s="22">
        <v>4204.0</v>
      </c>
      <c r="C124" s="22">
        <v>3323.0</v>
      </c>
      <c r="D124" s="22">
        <v>551.0</v>
      </c>
      <c r="E124" s="22">
        <v>1490.0</v>
      </c>
      <c r="F124" s="22">
        <v>1118.0</v>
      </c>
      <c r="G124" s="22">
        <v>164.0</v>
      </c>
      <c r="H124" s="46">
        <v>881.0</v>
      </c>
      <c r="I124" s="47">
        <v>10988.0</v>
      </c>
      <c r="J124" s="22">
        <v>8650.0</v>
      </c>
      <c r="K124" s="22">
        <v>1581.0</v>
      </c>
      <c r="L124" s="22">
        <v>3637.0</v>
      </c>
      <c r="M124" s="22">
        <v>2917.0</v>
      </c>
      <c r="N124" s="22">
        <v>515.0</v>
      </c>
      <c r="O124" s="46">
        <v>2338.0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ht="15.75" customHeight="1">
      <c r="A125" s="45" t="s">
        <v>424</v>
      </c>
      <c r="B125" s="22">
        <v>3930.0</v>
      </c>
      <c r="C125" s="22">
        <v>3491.0</v>
      </c>
      <c r="D125" s="22">
        <v>264.0</v>
      </c>
      <c r="E125" s="22">
        <v>1617.0</v>
      </c>
      <c r="F125" s="22">
        <v>1492.0</v>
      </c>
      <c r="G125" s="22">
        <v>118.0</v>
      </c>
      <c r="H125" s="46">
        <v>439.0</v>
      </c>
      <c r="I125" s="47">
        <v>13239.0</v>
      </c>
      <c r="J125" s="22">
        <v>11082.0</v>
      </c>
      <c r="K125" s="22">
        <v>783.0</v>
      </c>
      <c r="L125" s="22">
        <v>4856.0</v>
      </c>
      <c r="M125" s="22">
        <v>4672.0</v>
      </c>
      <c r="N125" s="22">
        <v>771.0</v>
      </c>
      <c r="O125" s="46">
        <v>2157.0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ht="15.75" customHeight="1">
      <c r="A126" s="45" t="s">
        <v>425</v>
      </c>
      <c r="B126" s="22">
        <v>3016.0</v>
      </c>
      <c r="C126" s="22">
        <v>2540.0</v>
      </c>
      <c r="D126" s="22">
        <v>402.0</v>
      </c>
      <c r="E126" s="22">
        <v>1040.0</v>
      </c>
      <c r="F126" s="22">
        <v>977.0</v>
      </c>
      <c r="G126" s="22">
        <v>121.0</v>
      </c>
      <c r="H126" s="46">
        <v>476.0</v>
      </c>
      <c r="I126" s="47">
        <v>9386.0</v>
      </c>
      <c r="J126" s="22">
        <v>7574.0</v>
      </c>
      <c r="K126" s="22">
        <v>1241.0</v>
      </c>
      <c r="L126" s="22">
        <v>3398.0</v>
      </c>
      <c r="M126" s="22">
        <v>2572.0</v>
      </c>
      <c r="N126" s="22">
        <v>363.0</v>
      </c>
      <c r="O126" s="46">
        <v>1812.0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ht="15.75" customHeight="1">
      <c r="A127" s="45" t="s">
        <v>426</v>
      </c>
      <c r="B127" s="22">
        <v>984.0</v>
      </c>
      <c r="C127" s="22">
        <v>875.0</v>
      </c>
      <c r="D127" s="22">
        <v>133.0</v>
      </c>
      <c r="E127" s="22">
        <v>429.0</v>
      </c>
      <c r="F127" s="22">
        <v>282.0</v>
      </c>
      <c r="G127" s="22">
        <v>31.0</v>
      </c>
      <c r="H127" s="46">
        <v>109.0</v>
      </c>
      <c r="I127" s="47">
        <v>3093.0</v>
      </c>
      <c r="J127" s="22">
        <v>2670.0</v>
      </c>
      <c r="K127" s="22">
        <v>391.0</v>
      </c>
      <c r="L127" s="22">
        <v>1246.0</v>
      </c>
      <c r="M127" s="22">
        <v>912.0</v>
      </c>
      <c r="N127" s="22">
        <v>121.0</v>
      </c>
      <c r="O127" s="46">
        <v>423.0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ht="15.75" customHeight="1">
      <c r="A128" s="45"/>
      <c r="B128" s="22"/>
      <c r="C128" s="22"/>
      <c r="D128" s="22"/>
      <c r="E128" s="22"/>
      <c r="F128" s="22"/>
      <c r="G128" s="22"/>
      <c r="H128" s="46"/>
      <c r="I128" s="47"/>
      <c r="J128" s="22"/>
      <c r="K128" s="22"/>
      <c r="L128" s="22"/>
      <c r="M128" s="22"/>
      <c r="N128" s="22"/>
      <c r="O128" s="46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ht="15.75" customHeight="1">
      <c r="A129" s="75" t="s">
        <v>36</v>
      </c>
      <c r="B129" s="76">
        <v>5917.0</v>
      </c>
      <c r="C129" s="76">
        <v>5108.0</v>
      </c>
      <c r="D129" s="76">
        <v>840.0</v>
      </c>
      <c r="E129" s="76">
        <v>2162.0</v>
      </c>
      <c r="F129" s="76">
        <v>1813.0</v>
      </c>
      <c r="G129" s="76">
        <v>293.0</v>
      </c>
      <c r="H129" s="76">
        <v>809.0</v>
      </c>
      <c r="I129" s="101">
        <v>19249.0</v>
      </c>
      <c r="J129" s="76">
        <v>16392.0</v>
      </c>
      <c r="K129" s="76">
        <v>2551.0</v>
      </c>
      <c r="L129" s="76">
        <v>6742.0</v>
      </c>
      <c r="M129" s="76">
        <v>5992.0</v>
      </c>
      <c r="N129" s="76">
        <v>1107.0</v>
      </c>
      <c r="O129" s="77">
        <v>2857.0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20"/>
      <c r="AB129" s="18"/>
      <c r="AC129" s="18"/>
      <c r="AD129" s="18"/>
      <c r="AE129" s="18"/>
      <c r="AF129" s="18"/>
      <c r="AG129" s="18"/>
      <c r="AH129" s="18"/>
      <c r="AI129" s="18"/>
    </row>
    <row r="130" ht="15.75" customHeight="1">
      <c r="A130" s="45" t="s">
        <v>427</v>
      </c>
      <c r="B130" s="22">
        <v>1550.0</v>
      </c>
      <c r="C130" s="22">
        <v>1246.0</v>
      </c>
      <c r="D130" s="22">
        <v>168.0</v>
      </c>
      <c r="E130" s="22">
        <v>475.0</v>
      </c>
      <c r="F130" s="22">
        <v>544.0</v>
      </c>
      <c r="G130" s="22">
        <v>59.0</v>
      </c>
      <c r="H130" s="46">
        <v>304.0</v>
      </c>
      <c r="I130" s="47">
        <v>6390.0</v>
      </c>
      <c r="J130" s="22">
        <v>5110.0</v>
      </c>
      <c r="K130" s="22">
        <v>531.0</v>
      </c>
      <c r="L130" s="22">
        <v>2207.0</v>
      </c>
      <c r="M130" s="22">
        <v>2121.0</v>
      </c>
      <c r="N130" s="22">
        <v>251.0</v>
      </c>
      <c r="O130" s="46">
        <v>1280.0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ht="15.75" customHeight="1">
      <c r="A131" s="45" t="s">
        <v>428</v>
      </c>
      <c r="B131" s="22">
        <v>1649.0</v>
      </c>
      <c r="C131" s="22">
        <v>1526.0</v>
      </c>
      <c r="D131" s="22">
        <v>265.0</v>
      </c>
      <c r="E131" s="22">
        <v>660.0</v>
      </c>
      <c r="F131" s="22">
        <v>497.0</v>
      </c>
      <c r="G131" s="22">
        <v>104.0</v>
      </c>
      <c r="H131" s="46">
        <v>123.0</v>
      </c>
      <c r="I131" s="47">
        <v>4509.0</v>
      </c>
      <c r="J131" s="22">
        <v>4158.0</v>
      </c>
      <c r="K131" s="22">
        <v>651.0</v>
      </c>
      <c r="L131" s="22">
        <v>1710.0</v>
      </c>
      <c r="M131" s="22">
        <v>1386.0</v>
      </c>
      <c r="N131" s="22">
        <v>411.0</v>
      </c>
      <c r="O131" s="46">
        <v>351.0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ht="15.75" customHeight="1">
      <c r="A132" s="45" t="s">
        <v>429</v>
      </c>
      <c r="B132" s="22">
        <v>413.0</v>
      </c>
      <c r="C132" s="22">
        <v>285.0</v>
      </c>
      <c r="D132" s="22">
        <v>75.0</v>
      </c>
      <c r="E132" s="22">
        <v>145.0</v>
      </c>
      <c r="F132" s="22">
        <v>56.0</v>
      </c>
      <c r="G132" s="22">
        <v>9.0</v>
      </c>
      <c r="H132" s="46">
        <v>128.0</v>
      </c>
      <c r="I132" s="47">
        <v>870.0</v>
      </c>
      <c r="J132" s="22">
        <v>543.0</v>
      </c>
      <c r="K132" s="22">
        <v>136.0</v>
      </c>
      <c r="L132" s="22">
        <v>243.0</v>
      </c>
      <c r="M132" s="22">
        <v>109.0</v>
      </c>
      <c r="N132" s="22">
        <v>55.0</v>
      </c>
      <c r="O132" s="46">
        <v>327.0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ht="15.75" customHeight="1">
      <c r="A133" s="45" t="s">
        <v>430</v>
      </c>
      <c r="B133" s="22">
        <v>953.0</v>
      </c>
      <c r="C133" s="22">
        <v>880.0</v>
      </c>
      <c r="D133" s="22">
        <v>120.0</v>
      </c>
      <c r="E133" s="22">
        <v>361.0</v>
      </c>
      <c r="F133" s="22">
        <v>351.0</v>
      </c>
      <c r="G133" s="22">
        <v>48.0</v>
      </c>
      <c r="H133" s="46">
        <v>73.0</v>
      </c>
      <c r="I133" s="47">
        <v>3372.0</v>
      </c>
      <c r="J133" s="22">
        <v>3049.0</v>
      </c>
      <c r="K133" s="22">
        <v>391.0</v>
      </c>
      <c r="L133" s="22">
        <v>1163.0</v>
      </c>
      <c r="M133" s="22">
        <v>1311.0</v>
      </c>
      <c r="N133" s="22">
        <v>184.0</v>
      </c>
      <c r="O133" s="46">
        <v>323.0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ht="15.75" customHeight="1">
      <c r="A134" s="45" t="s">
        <v>431</v>
      </c>
      <c r="B134" s="22">
        <v>1352.0</v>
      </c>
      <c r="C134" s="22">
        <v>1171.0</v>
      </c>
      <c r="D134" s="22">
        <v>212.0</v>
      </c>
      <c r="E134" s="22">
        <v>521.0</v>
      </c>
      <c r="F134" s="22">
        <v>365.0</v>
      </c>
      <c r="G134" s="22">
        <v>73.0</v>
      </c>
      <c r="H134" s="46">
        <v>181.0</v>
      </c>
      <c r="I134" s="47">
        <v>4108.0</v>
      </c>
      <c r="J134" s="22">
        <v>3532.0</v>
      </c>
      <c r="K134" s="22">
        <v>842.0</v>
      </c>
      <c r="L134" s="22">
        <v>1419.0</v>
      </c>
      <c r="M134" s="22">
        <v>1065.0</v>
      </c>
      <c r="N134" s="22">
        <v>206.0</v>
      </c>
      <c r="O134" s="46">
        <v>576.0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ht="15.75" customHeight="1">
      <c r="A135" s="45"/>
      <c r="B135" s="22"/>
      <c r="C135" s="22"/>
      <c r="D135" s="22"/>
      <c r="E135" s="22"/>
      <c r="F135" s="22"/>
      <c r="G135" s="22"/>
      <c r="H135" s="46"/>
      <c r="I135" s="47"/>
      <c r="J135" s="22"/>
      <c r="K135" s="22"/>
      <c r="L135" s="22"/>
      <c r="M135" s="22"/>
      <c r="N135" s="22"/>
      <c r="O135" s="46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ht="15.75" customHeight="1">
      <c r="A136" s="75" t="s">
        <v>37</v>
      </c>
      <c r="B136" s="76">
        <v>1885.0</v>
      </c>
      <c r="C136" s="76">
        <v>1310.0</v>
      </c>
      <c r="D136" s="76">
        <v>652.0</v>
      </c>
      <c r="E136" s="76">
        <v>465.0</v>
      </c>
      <c r="F136" s="76">
        <v>181.0</v>
      </c>
      <c r="G136" s="76">
        <v>12.0</v>
      </c>
      <c r="H136" s="76">
        <v>575.0</v>
      </c>
      <c r="I136" s="101">
        <v>6621.0</v>
      </c>
      <c r="J136" s="76">
        <v>4152.0</v>
      </c>
      <c r="K136" s="76">
        <v>1917.0</v>
      </c>
      <c r="L136" s="76">
        <v>1600.0</v>
      </c>
      <c r="M136" s="76">
        <v>594.0</v>
      </c>
      <c r="N136" s="76">
        <v>41.0</v>
      </c>
      <c r="O136" s="77">
        <v>2469.0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20"/>
      <c r="AB136" s="18"/>
      <c r="AC136" s="18"/>
      <c r="AD136" s="18"/>
      <c r="AE136" s="18"/>
      <c r="AF136" s="18"/>
      <c r="AG136" s="18"/>
      <c r="AH136" s="18"/>
      <c r="AI136" s="18"/>
    </row>
    <row r="137" ht="15.75" customHeight="1">
      <c r="A137" s="45" t="s">
        <v>432</v>
      </c>
      <c r="B137" s="22">
        <v>31.0</v>
      </c>
      <c r="C137" s="22">
        <v>27.0</v>
      </c>
      <c r="D137" s="22">
        <v>24.0</v>
      </c>
      <c r="E137" s="22">
        <v>3.0</v>
      </c>
      <c r="F137" s="22">
        <v>0.0</v>
      </c>
      <c r="G137" s="22">
        <v>0.0</v>
      </c>
      <c r="H137" s="46">
        <v>4.0</v>
      </c>
      <c r="I137" s="47">
        <v>148.0</v>
      </c>
      <c r="J137" s="22">
        <v>119.0</v>
      </c>
      <c r="K137" s="22">
        <v>91.0</v>
      </c>
      <c r="L137" s="22">
        <v>28.0</v>
      </c>
      <c r="M137" s="22">
        <v>0.0</v>
      </c>
      <c r="N137" s="22">
        <v>0.0</v>
      </c>
      <c r="O137" s="46">
        <v>29.0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ht="15.75" customHeight="1">
      <c r="A138" s="45" t="s">
        <v>433</v>
      </c>
      <c r="B138" s="22">
        <v>312.0</v>
      </c>
      <c r="C138" s="22">
        <v>127.0</v>
      </c>
      <c r="D138" s="22">
        <v>62.0</v>
      </c>
      <c r="E138" s="22">
        <v>29.0</v>
      </c>
      <c r="F138" s="22">
        <v>36.0</v>
      </c>
      <c r="G138" s="22">
        <v>0.0</v>
      </c>
      <c r="H138" s="46">
        <v>185.0</v>
      </c>
      <c r="I138" s="47">
        <v>1184.0</v>
      </c>
      <c r="J138" s="22">
        <v>427.0</v>
      </c>
      <c r="K138" s="22">
        <v>207.0</v>
      </c>
      <c r="L138" s="22">
        <v>103.0</v>
      </c>
      <c r="M138" s="22">
        <v>117.0</v>
      </c>
      <c r="N138" s="22">
        <v>0.0</v>
      </c>
      <c r="O138" s="46">
        <v>757.0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ht="15.75" customHeight="1">
      <c r="A139" s="45" t="s">
        <v>434</v>
      </c>
      <c r="B139" s="22">
        <v>1077.0</v>
      </c>
      <c r="C139" s="22">
        <v>794.0</v>
      </c>
      <c r="D139" s="22">
        <v>303.0</v>
      </c>
      <c r="E139" s="22">
        <v>357.0</v>
      </c>
      <c r="F139" s="22">
        <v>128.0</v>
      </c>
      <c r="G139" s="22">
        <v>6.0</v>
      </c>
      <c r="H139" s="46">
        <v>283.0</v>
      </c>
      <c r="I139" s="47">
        <v>3780.0</v>
      </c>
      <c r="J139" s="22">
        <v>2477.0</v>
      </c>
      <c r="K139" s="22">
        <v>797.0</v>
      </c>
      <c r="L139" s="22">
        <v>1225.0</v>
      </c>
      <c r="M139" s="22">
        <v>427.0</v>
      </c>
      <c r="N139" s="22">
        <v>28.0</v>
      </c>
      <c r="O139" s="46">
        <v>1303.0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ht="15.75" customHeight="1">
      <c r="A140" s="45" t="s">
        <v>435</v>
      </c>
      <c r="B140" s="22">
        <v>333.0</v>
      </c>
      <c r="C140" s="22">
        <v>298.0</v>
      </c>
      <c r="D140" s="22">
        <v>199.0</v>
      </c>
      <c r="E140" s="22">
        <v>76.0</v>
      </c>
      <c r="F140" s="22">
        <v>17.0</v>
      </c>
      <c r="G140" s="22">
        <v>6.0</v>
      </c>
      <c r="H140" s="46">
        <v>35.0</v>
      </c>
      <c r="I140" s="47">
        <v>1034.0</v>
      </c>
      <c r="J140" s="22">
        <v>941.0</v>
      </c>
      <c r="K140" s="22">
        <v>634.0</v>
      </c>
      <c r="L140" s="22">
        <v>244.0</v>
      </c>
      <c r="M140" s="22">
        <v>50.0</v>
      </c>
      <c r="N140" s="22">
        <v>13.0</v>
      </c>
      <c r="O140" s="46">
        <v>93.0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ht="15.75" customHeight="1">
      <c r="A141" s="80" t="s">
        <v>436</v>
      </c>
      <c r="B141" s="49">
        <v>132.0</v>
      </c>
      <c r="C141" s="49">
        <v>64.0</v>
      </c>
      <c r="D141" s="49">
        <v>64.0</v>
      </c>
      <c r="E141" s="49">
        <v>0.0</v>
      </c>
      <c r="F141" s="49">
        <v>0.0</v>
      </c>
      <c r="G141" s="49">
        <v>0.0</v>
      </c>
      <c r="H141" s="50">
        <v>68.0</v>
      </c>
      <c r="I141" s="51">
        <v>475.0</v>
      </c>
      <c r="J141" s="49">
        <v>188.0</v>
      </c>
      <c r="K141" s="49">
        <v>188.0</v>
      </c>
      <c r="L141" s="49">
        <v>0.0</v>
      </c>
      <c r="M141" s="49">
        <v>0.0</v>
      </c>
      <c r="N141" s="49">
        <v>0.0</v>
      </c>
      <c r="O141" s="50">
        <v>287.0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ht="15.75" customHeight="1">
      <c r="A142" s="2"/>
      <c r="B142" s="2"/>
      <c r="C142" s="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ht="15.75" customHeight="1">
      <c r="A143" s="2" t="s">
        <v>96</v>
      </c>
      <c r="B143" s="2"/>
      <c r="C143" s="52"/>
      <c r="D143" s="52"/>
      <c r="E143" s="5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ht="15.75" customHeight="1">
      <c r="A144" s="53" t="s">
        <v>97</v>
      </c>
      <c r="B144" s="2"/>
      <c r="C144" s="52"/>
      <c r="D144" s="52"/>
      <c r="E144" s="5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</sheetData>
  <mergeCells count="11">
    <mergeCell ref="C3:G3"/>
    <mergeCell ref="D4:G4"/>
    <mergeCell ref="J3:N3"/>
    <mergeCell ref="K4:N4"/>
    <mergeCell ref="A3:A6"/>
    <mergeCell ref="B3:B5"/>
    <mergeCell ref="H3:H5"/>
    <mergeCell ref="I3:I5"/>
    <mergeCell ref="O3:O5"/>
    <mergeCell ref="C4:C5"/>
    <mergeCell ref="J4:J5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71.57"/>
    <col customWidth="1" min="2" max="2" width="27.0"/>
    <col customWidth="1" min="3" max="7" width="15.14"/>
    <col customWidth="1" min="8" max="12" width="16.14"/>
    <col customWidth="1" min="13" max="17" width="9.14"/>
    <col customWidth="1" min="18" max="26" width="8.71"/>
  </cols>
  <sheetData>
    <row r="1">
      <c r="A1" s="128" t="s">
        <v>456</v>
      </c>
      <c r="B1" s="2"/>
      <c r="C1" s="62"/>
      <c r="D1" s="62"/>
      <c r="E1" s="62"/>
      <c r="F1" s="62"/>
      <c r="G1" s="62"/>
      <c r="H1" s="22"/>
      <c r="I1" s="22"/>
      <c r="J1" s="22"/>
      <c r="K1" s="22"/>
      <c r="L1" s="2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28"/>
      <c r="B2" s="2"/>
      <c r="C2" s="62"/>
      <c r="D2" s="62"/>
      <c r="E2" s="62"/>
      <c r="F2" s="62"/>
      <c r="G2" s="62"/>
      <c r="H2" s="22"/>
      <c r="I2" s="22"/>
      <c r="J2" s="22"/>
      <c r="K2" s="22"/>
      <c r="L2" s="2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4.5" customHeight="1">
      <c r="A3" s="129" t="s">
        <v>457</v>
      </c>
      <c r="B3" s="111" t="s">
        <v>458</v>
      </c>
      <c r="C3" s="110" t="s">
        <v>459</v>
      </c>
      <c r="D3" s="8"/>
      <c r="E3" s="8"/>
      <c r="F3" s="8"/>
      <c r="G3" s="130"/>
      <c r="H3" s="131" t="s">
        <v>460</v>
      </c>
      <c r="I3" s="8"/>
      <c r="J3" s="8"/>
      <c r="K3" s="8"/>
      <c r="L3" s="9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10"/>
      <c r="B4" s="10"/>
      <c r="C4" s="111" t="s">
        <v>331</v>
      </c>
      <c r="D4" s="110" t="s">
        <v>332</v>
      </c>
      <c r="E4" s="8"/>
      <c r="F4" s="8"/>
      <c r="G4" s="9"/>
      <c r="H4" s="132" t="s">
        <v>461</v>
      </c>
      <c r="I4" s="131" t="s">
        <v>332</v>
      </c>
      <c r="J4" s="8"/>
      <c r="K4" s="8"/>
      <c r="L4" s="9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/>
      <c r="B5" s="12"/>
      <c r="C5" s="12"/>
      <c r="D5" s="112" t="s">
        <v>333</v>
      </c>
      <c r="E5" s="112" t="s">
        <v>334</v>
      </c>
      <c r="F5" s="112" t="s">
        <v>335</v>
      </c>
      <c r="G5" s="112" t="s">
        <v>336</v>
      </c>
      <c r="H5" s="12"/>
      <c r="I5" s="133" t="s">
        <v>333</v>
      </c>
      <c r="J5" s="133" t="s">
        <v>334</v>
      </c>
      <c r="K5" s="133" t="s">
        <v>335</v>
      </c>
      <c r="L5" s="133" t="s">
        <v>336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2"/>
      <c r="B6" s="31" t="s">
        <v>14</v>
      </c>
      <c r="C6" s="31" t="s">
        <v>15</v>
      </c>
      <c r="D6" s="31" t="s">
        <v>16</v>
      </c>
      <c r="E6" s="31" t="s">
        <v>17</v>
      </c>
      <c r="F6" s="31" t="s">
        <v>18</v>
      </c>
      <c r="G6" s="31" t="s">
        <v>19</v>
      </c>
      <c r="H6" s="32" t="s">
        <v>64</v>
      </c>
      <c r="I6" s="32" t="s">
        <v>65</v>
      </c>
      <c r="J6" s="32" t="s">
        <v>66</v>
      </c>
      <c r="K6" s="32" t="s">
        <v>67</v>
      </c>
      <c r="L6" s="32" t="s">
        <v>68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4"/>
      <c r="B7" s="135"/>
      <c r="C7" s="135"/>
      <c r="D7" s="135"/>
      <c r="E7" s="135"/>
      <c r="F7" s="135"/>
      <c r="G7" s="135"/>
      <c r="H7" s="136"/>
      <c r="I7" s="136"/>
      <c r="J7" s="136"/>
      <c r="K7" s="136"/>
      <c r="L7" s="13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8" t="s">
        <v>99</v>
      </c>
      <c r="B8" s="139">
        <v>316678.0</v>
      </c>
      <c r="C8" s="139">
        <v>259707.0</v>
      </c>
      <c r="D8" s="139">
        <v>248783.0</v>
      </c>
      <c r="E8" s="139">
        <v>10492.0</v>
      </c>
      <c r="F8" s="139">
        <v>224.0</v>
      </c>
      <c r="G8" s="139">
        <v>208.0</v>
      </c>
      <c r="H8" s="139">
        <v>56971.0</v>
      </c>
      <c r="I8" s="139">
        <v>50807.0</v>
      </c>
      <c r="J8" s="139">
        <v>5801.0</v>
      </c>
      <c r="K8" s="139">
        <v>223.0</v>
      </c>
      <c r="L8" s="140">
        <v>140.0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1"/>
      <c r="B9" s="2"/>
      <c r="C9" s="2"/>
      <c r="D9" s="2"/>
      <c r="E9" s="2"/>
      <c r="F9" s="2"/>
      <c r="G9" s="2"/>
      <c r="H9" s="22"/>
      <c r="I9" s="22"/>
      <c r="J9" s="22"/>
      <c r="K9" s="22"/>
      <c r="L9" s="4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5" t="s">
        <v>43</v>
      </c>
      <c r="B10" s="142">
        <v>2413.0</v>
      </c>
      <c r="C10" s="22">
        <v>1637.0</v>
      </c>
      <c r="D10" s="22">
        <v>1437.0</v>
      </c>
      <c r="E10" s="22">
        <v>194.0</v>
      </c>
      <c r="F10" s="22">
        <v>4.0</v>
      </c>
      <c r="G10" s="22">
        <v>2.0</v>
      </c>
      <c r="H10" s="109">
        <v>776.0</v>
      </c>
      <c r="I10" s="109">
        <v>636.0</v>
      </c>
      <c r="J10" s="109">
        <v>136.0</v>
      </c>
      <c r="K10" s="143">
        <v>3.0</v>
      </c>
      <c r="L10" s="144">
        <v>1.0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5" t="s">
        <v>44</v>
      </c>
      <c r="B11" s="142">
        <v>214.0</v>
      </c>
      <c r="C11" s="22">
        <v>138.0</v>
      </c>
      <c r="D11" s="22">
        <v>124.0</v>
      </c>
      <c r="E11" s="22">
        <v>11.0</v>
      </c>
      <c r="F11" s="22">
        <v>2.0</v>
      </c>
      <c r="G11" s="22">
        <v>1.0</v>
      </c>
      <c r="H11" s="52">
        <v>76.0</v>
      </c>
      <c r="I11" s="52">
        <v>58.0</v>
      </c>
      <c r="J11" s="145">
        <v>17.0</v>
      </c>
      <c r="K11" s="145">
        <v>1.0</v>
      </c>
      <c r="L11" s="146">
        <v>0.0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5" t="s">
        <v>462</v>
      </c>
      <c r="B12" s="142">
        <v>32610.0</v>
      </c>
      <c r="C12" s="22">
        <v>27644.0</v>
      </c>
      <c r="D12" s="22">
        <v>26400.0</v>
      </c>
      <c r="E12" s="22">
        <v>1175.0</v>
      </c>
      <c r="F12" s="22">
        <v>36.0</v>
      </c>
      <c r="G12" s="22">
        <v>33.0</v>
      </c>
      <c r="H12" s="52">
        <v>4966.0</v>
      </c>
      <c r="I12" s="52">
        <v>4379.0</v>
      </c>
      <c r="J12" s="52">
        <v>504.0</v>
      </c>
      <c r="K12" s="145">
        <v>57.0</v>
      </c>
      <c r="L12" s="146">
        <v>26.0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5" t="s">
        <v>463</v>
      </c>
      <c r="B13" s="142">
        <v>62.0</v>
      </c>
      <c r="C13" s="22">
        <v>43.0</v>
      </c>
      <c r="D13" s="22">
        <v>25.0</v>
      </c>
      <c r="E13" s="22">
        <v>16.0</v>
      </c>
      <c r="F13" s="22">
        <v>2.0</v>
      </c>
      <c r="G13" s="22">
        <v>0.0</v>
      </c>
      <c r="H13" s="109">
        <v>19.0</v>
      </c>
      <c r="I13" s="109">
        <v>11.0</v>
      </c>
      <c r="J13" s="143">
        <v>6.0</v>
      </c>
      <c r="K13" s="143">
        <v>2.0</v>
      </c>
      <c r="L13" s="144">
        <v>0.0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5" t="s">
        <v>47</v>
      </c>
      <c r="B14" s="142">
        <v>160.0</v>
      </c>
      <c r="C14" s="22">
        <v>118.0</v>
      </c>
      <c r="D14" s="22">
        <v>70.0</v>
      </c>
      <c r="E14" s="22">
        <v>44.0</v>
      </c>
      <c r="F14" s="22">
        <v>1.0</v>
      </c>
      <c r="G14" s="22">
        <v>3.0</v>
      </c>
      <c r="H14" s="52">
        <v>42.0</v>
      </c>
      <c r="I14" s="52">
        <v>17.0</v>
      </c>
      <c r="J14" s="145">
        <v>21.0</v>
      </c>
      <c r="K14" s="145">
        <v>0.0</v>
      </c>
      <c r="L14" s="146">
        <v>4.0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5" t="s">
        <v>48</v>
      </c>
      <c r="B15" s="142">
        <v>1150.0</v>
      </c>
      <c r="C15" s="22">
        <v>825.0</v>
      </c>
      <c r="D15" s="22">
        <v>562.0</v>
      </c>
      <c r="E15" s="22">
        <v>224.0</v>
      </c>
      <c r="F15" s="22">
        <v>18.0</v>
      </c>
      <c r="G15" s="22">
        <v>21.0</v>
      </c>
      <c r="H15" s="52">
        <v>325.0</v>
      </c>
      <c r="I15" s="52">
        <v>188.0</v>
      </c>
      <c r="J15" s="145">
        <v>110.0</v>
      </c>
      <c r="K15" s="145">
        <v>14.0</v>
      </c>
      <c r="L15" s="146">
        <v>13.0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5" t="s">
        <v>49</v>
      </c>
      <c r="B16" s="142">
        <v>127528.0</v>
      </c>
      <c r="C16" s="22">
        <v>112905.0</v>
      </c>
      <c r="D16" s="22">
        <v>109976.0</v>
      </c>
      <c r="E16" s="22">
        <v>2874.0</v>
      </c>
      <c r="F16" s="22">
        <v>43.0</v>
      </c>
      <c r="G16" s="22">
        <v>12.0</v>
      </c>
      <c r="H16" s="52">
        <v>14623.0</v>
      </c>
      <c r="I16" s="52">
        <v>13792.0</v>
      </c>
      <c r="J16" s="52">
        <v>805.0</v>
      </c>
      <c r="K16" s="145">
        <v>18.0</v>
      </c>
      <c r="L16" s="146">
        <v>8.0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5" t="s">
        <v>50</v>
      </c>
      <c r="B17" s="142">
        <v>2593.0</v>
      </c>
      <c r="C17" s="22">
        <v>1804.0</v>
      </c>
      <c r="D17" s="22">
        <v>1386.0</v>
      </c>
      <c r="E17" s="22">
        <v>387.0</v>
      </c>
      <c r="F17" s="22">
        <v>20.0</v>
      </c>
      <c r="G17" s="22">
        <v>11.0</v>
      </c>
      <c r="H17" s="52">
        <v>789.0</v>
      </c>
      <c r="I17" s="52">
        <v>547.0</v>
      </c>
      <c r="J17" s="52">
        <v>214.0</v>
      </c>
      <c r="K17" s="145">
        <v>17.0</v>
      </c>
      <c r="L17" s="146">
        <v>11.0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5" t="s">
        <v>51</v>
      </c>
      <c r="B18" s="142">
        <v>63138.0</v>
      </c>
      <c r="C18" s="22">
        <v>49379.0</v>
      </c>
      <c r="D18" s="22">
        <v>46670.0</v>
      </c>
      <c r="E18" s="22">
        <v>2685.0</v>
      </c>
      <c r="F18" s="22">
        <v>13.0</v>
      </c>
      <c r="G18" s="22">
        <v>11.0</v>
      </c>
      <c r="H18" s="52">
        <v>13759.0</v>
      </c>
      <c r="I18" s="52">
        <v>12166.0</v>
      </c>
      <c r="J18" s="52">
        <v>1563.0</v>
      </c>
      <c r="K18" s="145">
        <v>27.0</v>
      </c>
      <c r="L18" s="146">
        <v>3.0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5" t="s">
        <v>464</v>
      </c>
      <c r="B19" s="142">
        <v>18391.0</v>
      </c>
      <c r="C19" s="22">
        <v>15117.0</v>
      </c>
      <c r="D19" s="22">
        <v>14860.0</v>
      </c>
      <c r="E19" s="22">
        <v>232.0</v>
      </c>
      <c r="F19" s="22">
        <v>11.0</v>
      </c>
      <c r="G19" s="22">
        <v>14.0</v>
      </c>
      <c r="H19" s="52">
        <v>3274.0</v>
      </c>
      <c r="I19" s="52">
        <v>3086.0</v>
      </c>
      <c r="J19" s="52">
        <v>179.0</v>
      </c>
      <c r="K19" s="145">
        <v>9.0</v>
      </c>
      <c r="L19" s="146">
        <v>0.0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5" t="s">
        <v>53</v>
      </c>
      <c r="B20" s="142">
        <v>7029.0</v>
      </c>
      <c r="C20" s="22">
        <v>5862.0</v>
      </c>
      <c r="D20" s="22">
        <v>5381.0</v>
      </c>
      <c r="E20" s="22">
        <v>472.0</v>
      </c>
      <c r="F20" s="22">
        <v>5.0</v>
      </c>
      <c r="G20" s="22">
        <v>4.0</v>
      </c>
      <c r="H20" s="52">
        <v>1167.0</v>
      </c>
      <c r="I20" s="52">
        <v>1008.0</v>
      </c>
      <c r="J20" s="52">
        <v>150.0</v>
      </c>
      <c r="K20" s="145">
        <v>5.0</v>
      </c>
      <c r="L20" s="146">
        <v>4.0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5" t="s">
        <v>54</v>
      </c>
      <c r="B21" s="142">
        <v>2209.0</v>
      </c>
      <c r="C21" s="22">
        <v>1327.0</v>
      </c>
      <c r="D21" s="22">
        <v>1208.0</v>
      </c>
      <c r="E21" s="22">
        <v>115.0</v>
      </c>
      <c r="F21" s="22">
        <v>4.0</v>
      </c>
      <c r="G21" s="22">
        <v>0.0</v>
      </c>
      <c r="H21" s="52">
        <v>882.0</v>
      </c>
      <c r="I21" s="52">
        <v>782.0</v>
      </c>
      <c r="J21" s="145">
        <v>96.0</v>
      </c>
      <c r="K21" s="145">
        <v>2.0</v>
      </c>
      <c r="L21" s="146">
        <v>2.0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5" t="s">
        <v>55</v>
      </c>
      <c r="B22" s="142">
        <v>4276.0</v>
      </c>
      <c r="C22" s="22">
        <v>3210.0</v>
      </c>
      <c r="D22" s="22">
        <v>2997.0</v>
      </c>
      <c r="E22" s="22">
        <v>204.0</v>
      </c>
      <c r="F22" s="22">
        <v>6.0</v>
      </c>
      <c r="G22" s="22">
        <v>3.0</v>
      </c>
      <c r="H22" s="52">
        <v>1066.0</v>
      </c>
      <c r="I22" s="52">
        <v>934.0</v>
      </c>
      <c r="J22" s="145">
        <v>123.0</v>
      </c>
      <c r="K22" s="145">
        <v>7.0</v>
      </c>
      <c r="L22" s="146">
        <v>2.0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5" t="s">
        <v>465</v>
      </c>
      <c r="B23" s="142">
        <v>7583.0</v>
      </c>
      <c r="C23" s="22">
        <v>5601.0</v>
      </c>
      <c r="D23" s="22">
        <v>5052.0</v>
      </c>
      <c r="E23" s="22">
        <v>429.0</v>
      </c>
      <c r="F23" s="22">
        <v>39.0</v>
      </c>
      <c r="G23" s="22">
        <v>81.0</v>
      </c>
      <c r="H23" s="52">
        <v>1982.0</v>
      </c>
      <c r="I23" s="52">
        <v>1694.0</v>
      </c>
      <c r="J23" s="52">
        <v>222.0</v>
      </c>
      <c r="K23" s="145">
        <v>23.0</v>
      </c>
      <c r="L23" s="146">
        <v>43.0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5" t="s">
        <v>57</v>
      </c>
      <c r="B24" s="142">
        <v>6442.0</v>
      </c>
      <c r="C24" s="22">
        <v>3419.0</v>
      </c>
      <c r="D24" s="22">
        <v>2821.0</v>
      </c>
      <c r="E24" s="22">
        <v>584.0</v>
      </c>
      <c r="F24" s="22">
        <v>9.0</v>
      </c>
      <c r="G24" s="22">
        <v>5.0</v>
      </c>
      <c r="H24" s="52">
        <v>3023.0</v>
      </c>
      <c r="I24" s="52">
        <v>2154.0</v>
      </c>
      <c r="J24" s="52">
        <v>823.0</v>
      </c>
      <c r="K24" s="145">
        <v>28.0</v>
      </c>
      <c r="L24" s="146">
        <v>18.0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5" t="s">
        <v>58</v>
      </c>
      <c r="B25" s="142">
        <v>6918.0</v>
      </c>
      <c r="C25" s="22">
        <v>4276.0</v>
      </c>
      <c r="D25" s="22">
        <v>4115.0</v>
      </c>
      <c r="E25" s="22">
        <v>153.0</v>
      </c>
      <c r="F25" s="22">
        <v>7.0</v>
      </c>
      <c r="G25" s="22">
        <v>1.0</v>
      </c>
      <c r="H25" s="52">
        <v>2642.0</v>
      </c>
      <c r="I25" s="52">
        <v>2548.0</v>
      </c>
      <c r="J25" s="145">
        <v>91.0</v>
      </c>
      <c r="K25" s="145">
        <v>3.0</v>
      </c>
      <c r="L25" s="146">
        <v>0.0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5" t="s">
        <v>466</v>
      </c>
      <c r="B26" s="142">
        <v>7978.0</v>
      </c>
      <c r="C26" s="22">
        <v>4298.0</v>
      </c>
      <c r="D26" s="22">
        <v>4137.0</v>
      </c>
      <c r="E26" s="22">
        <v>154.0</v>
      </c>
      <c r="F26" s="22">
        <v>3.0</v>
      </c>
      <c r="G26" s="22">
        <v>4.0</v>
      </c>
      <c r="H26" s="52">
        <v>3680.0</v>
      </c>
      <c r="I26" s="52">
        <v>3249.0</v>
      </c>
      <c r="J26" s="52">
        <v>422.0</v>
      </c>
      <c r="K26" s="145">
        <v>4.0</v>
      </c>
      <c r="L26" s="146">
        <v>5.0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80" t="s">
        <v>60</v>
      </c>
      <c r="B27" s="147">
        <v>25984.0</v>
      </c>
      <c r="C27" s="49">
        <v>22104.0</v>
      </c>
      <c r="D27" s="49">
        <v>21562.0</v>
      </c>
      <c r="E27" s="49">
        <v>539.0</v>
      </c>
      <c r="F27" s="49">
        <v>1.0</v>
      </c>
      <c r="G27" s="49">
        <v>2.0</v>
      </c>
      <c r="H27" s="148">
        <v>3880.0</v>
      </c>
      <c r="I27" s="148">
        <v>3558.0</v>
      </c>
      <c r="J27" s="148">
        <v>319.0</v>
      </c>
      <c r="K27" s="149">
        <v>3.0</v>
      </c>
      <c r="L27" s="150">
        <v>0.0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3"/>
      <c r="B28" s="1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96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3" t="s">
        <v>97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28"/>
      <c r="B31" s="2"/>
      <c r="C31" s="2"/>
      <c r="D31" s="2"/>
      <c r="E31" s="2"/>
      <c r="F31" s="2"/>
      <c r="G31" s="2"/>
      <c r="H31" s="22"/>
      <c r="I31" s="22"/>
      <c r="J31" s="22"/>
      <c r="K31" s="22"/>
      <c r="L31" s="2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28"/>
      <c r="B32" s="2"/>
      <c r="C32" s="2"/>
      <c r="D32" s="2"/>
      <c r="E32" s="2"/>
      <c r="F32" s="2"/>
      <c r="G32" s="2"/>
      <c r="H32" s="22"/>
      <c r="I32" s="22"/>
      <c r="J32" s="22"/>
      <c r="K32" s="22"/>
      <c r="L32" s="2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28"/>
      <c r="B33" s="2"/>
      <c r="C33" s="2"/>
      <c r="D33" s="2"/>
      <c r="E33" s="2"/>
      <c r="F33" s="2"/>
      <c r="G33" s="2"/>
      <c r="H33" s="22"/>
      <c r="I33" s="22"/>
      <c r="J33" s="22"/>
      <c r="K33" s="22"/>
      <c r="L33" s="2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28"/>
      <c r="B34" s="2"/>
      <c r="C34" s="2"/>
      <c r="D34" s="2"/>
      <c r="E34" s="2"/>
      <c r="F34" s="2"/>
      <c r="G34" s="2"/>
      <c r="H34" s="22"/>
      <c r="I34" s="22"/>
      <c r="J34" s="22"/>
      <c r="K34" s="22"/>
      <c r="L34" s="2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28"/>
      <c r="B35" s="2"/>
      <c r="C35" s="2"/>
      <c r="D35" s="2"/>
      <c r="E35" s="2"/>
      <c r="F35" s="2"/>
      <c r="G35" s="2"/>
      <c r="H35" s="22"/>
      <c r="I35" s="22"/>
      <c r="J35" s="22"/>
      <c r="K35" s="22"/>
      <c r="L35" s="2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28"/>
      <c r="B36" s="2"/>
      <c r="C36" s="2"/>
      <c r="D36" s="2"/>
      <c r="E36" s="2"/>
      <c r="F36" s="2"/>
      <c r="G36" s="2"/>
      <c r="H36" s="22"/>
      <c r="I36" s="22"/>
      <c r="J36" s="22"/>
      <c r="K36" s="22"/>
      <c r="L36" s="2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28"/>
      <c r="B37" s="2"/>
      <c r="C37" s="2"/>
      <c r="D37" s="2"/>
      <c r="E37" s="2"/>
      <c r="F37" s="2"/>
      <c r="G37" s="2"/>
      <c r="H37" s="22"/>
      <c r="I37" s="22"/>
      <c r="J37" s="22"/>
      <c r="K37" s="22"/>
      <c r="L37" s="2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28"/>
      <c r="B38" s="2"/>
      <c r="C38" s="2"/>
      <c r="D38" s="2"/>
      <c r="E38" s="2"/>
      <c r="F38" s="2"/>
      <c r="G38" s="2"/>
      <c r="H38" s="22"/>
      <c r="I38" s="22"/>
      <c r="J38" s="22"/>
      <c r="K38" s="22"/>
      <c r="L38" s="2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28"/>
      <c r="B39" s="2"/>
      <c r="C39" s="2"/>
      <c r="D39" s="2"/>
      <c r="E39" s="2"/>
      <c r="F39" s="2"/>
      <c r="G39" s="2"/>
      <c r="H39" s="22"/>
      <c r="I39" s="22"/>
      <c r="J39" s="22"/>
      <c r="K39" s="22"/>
      <c r="L39" s="2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28"/>
      <c r="B40" s="2"/>
      <c r="C40" s="2"/>
      <c r="D40" s="2"/>
      <c r="E40" s="2"/>
      <c r="F40" s="2"/>
      <c r="G40" s="2"/>
      <c r="H40" s="22"/>
      <c r="I40" s="22"/>
      <c r="J40" s="22"/>
      <c r="K40" s="22"/>
      <c r="L40" s="2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28"/>
      <c r="B41" s="2"/>
      <c r="C41" s="2"/>
      <c r="D41" s="2"/>
      <c r="E41" s="2"/>
      <c r="F41" s="2"/>
      <c r="G41" s="2"/>
      <c r="H41" s="22"/>
      <c r="I41" s="22"/>
      <c r="J41" s="22"/>
      <c r="K41" s="22"/>
      <c r="L41" s="2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28"/>
      <c r="B42" s="2"/>
      <c r="C42" s="2"/>
      <c r="D42" s="2"/>
      <c r="E42" s="2"/>
      <c r="F42" s="2"/>
      <c r="G42" s="2"/>
      <c r="H42" s="22"/>
      <c r="I42" s="22"/>
      <c r="J42" s="22"/>
      <c r="K42" s="22"/>
      <c r="L42" s="2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28"/>
      <c r="B43" s="2"/>
      <c r="C43" s="2"/>
      <c r="D43" s="2"/>
      <c r="E43" s="2"/>
      <c r="F43" s="2"/>
      <c r="G43" s="2"/>
      <c r="H43" s="22"/>
      <c r="I43" s="22"/>
      <c r="J43" s="22"/>
      <c r="K43" s="22"/>
      <c r="L43" s="2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28"/>
      <c r="B44" s="2"/>
      <c r="C44" s="2"/>
      <c r="D44" s="2"/>
      <c r="E44" s="2"/>
      <c r="F44" s="2"/>
      <c r="G44" s="2"/>
      <c r="H44" s="22"/>
      <c r="I44" s="22"/>
      <c r="J44" s="22"/>
      <c r="K44" s="22"/>
      <c r="L44" s="2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28"/>
      <c r="B45" s="2"/>
      <c r="C45" s="2"/>
      <c r="D45" s="2"/>
      <c r="E45" s="2"/>
      <c r="F45" s="2"/>
      <c r="G45" s="2"/>
      <c r="H45" s="22"/>
      <c r="I45" s="22"/>
      <c r="J45" s="22"/>
      <c r="K45" s="22"/>
      <c r="L45" s="2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28"/>
      <c r="B46" s="2"/>
      <c r="C46" s="2"/>
      <c r="D46" s="2"/>
      <c r="E46" s="2"/>
      <c r="F46" s="2"/>
      <c r="G46" s="2"/>
      <c r="H46" s="22"/>
      <c r="I46" s="22"/>
      <c r="J46" s="22"/>
      <c r="K46" s="22"/>
      <c r="L46" s="2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28"/>
      <c r="B47" s="2"/>
      <c r="C47" s="2"/>
      <c r="D47" s="2"/>
      <c r="E47" s="2"/>
      <c r="F47" s="2"/>
      <c r="G47" s="2"/>
      <c r="H47" s="22"/>
      <c r="I47" s="22"/>
      <c r="J47" s="22"/>
      <c r="K47" s="22"/>
      <c r="L47" s="2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28"/>
      <c r="B48" s="2"/>
      <c r="C48" s="2"/>
      <c r="D48" s="2"/>
      <c r="E48" s="2"/>
      <c r="F48" s="2"/>
      <c r="G48" s="2"/>
      <c r="H48" s="22"/>
      <c r="I48" s="22"/>
      <c r="J48" s="22"/>
      <c r="K48" s="22"/>
      <c r="L48" s="2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28"/>
      <c r="B49" s="2"/>
      <c r="C49" s="2"/>
      <c r="D49" s="2"/>
      <c r="E49" s="2"/>
      <c r="F49" s="2"/>
      <c r="G49" s="2"/>
      <c r="H49" s="22"/>
      <c r="I49" s="22"/>
      <c r="J49" s="22"/>
      <c r="K49" s="22"/>
      <c r="L49" s="2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28"/>
      <c r="B50" s="2"/>
      <c r="C50" s="2"/>
      <c r="D50" s="2"/>
      <c r="E50" s="2"/>
      <c r="F50" s="2"/>
      <c r="G50" s="2"/>
      <c r="H50" s="22"/>
      <c r="I50" s="22"/>
      <c r="J50" s="22"/>
      <c r="K50" s="22"/>
      <c r="L50" s="2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28"/>
      <c r="B51" s="2"/>
      <c r="C51" s="2"/>
      <c r="D51" s="2"/>
      <c r="E51" s="2"/>
      <c r="F51" s="2"/>
      <c r="G51" s="2"/>
      <c r="H51" s="22"/>
      <c r="I51" s="22"/>
      <c r="J51" s="22"/>
      <c r="K51" s="22"/>
      <c r="L51" s="2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28"/>
      <c r="B52" s="2"/>
      <c r="C52" s="2"/>
      <c r="D52" s="2"/>
      <c r="E52" s="2"/>
      <c r="F52" s="2"/>
      <c r="G52" s="2"/>
      <c r="H52" s="22"/>
      <c r="I52" s="22"/>
      <c r="J52" s="22"/>
      <c r="K52" s="22"/>
      <c r="L52" s="2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28"/>
      <c r="B53" s="2"/>
      <c r="C53" s="2"/>
      <c r="D53" s="2"/>
      <c r="E53" s="2"/>
      <c r="F53" s="2"/>
      <c r="G53" s="2"/>
      <c r="H53" s="22"/>
      <c r="I53" s="22"/>
      <c r="J53" s="22"/>
      <c r="K53" s="22"/>
      <c r="L53" s="2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28"/>
      <c r="B54" s="2"/>
      <c r="C54" s="2"/>
      <c r="D54" s="2"/>
      <c r="E54" s="2"/>
      <c r="F54" s="2"/>
      <c r="G54" s="2"/>
      <c r="H54" s="22"/>
      <c r="I54" s="22"/>
      <c r="J54" s="22"/>
      <c r="K54" s="22"/>
      <c r="L54" s="2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28"/>
      <c r="B55" s="2"/>
      <c r="C55" s="2"/>
      <c r="D55" s="2"/>
      <c r="E55" s="2"/>
      <c r="F55" s="2"/>
      <c r="G55" s="2"/>
      <c r="H55" s="22"/>
      <c r="I55" s="22"/>
      <c r="J55" s="22"/>
      <c r="K55" s="22"/>
      <c r="L55" s="2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28"/>
      <c r="B56" s="2"/>
      <c r="C56" s="2"/>
      <c r="D56" s="2"/>
      <c r="E56" s="2"/>
      <c r="F56" s="2"/>
      <c r="G56" s="2"/>
      <c r="H56" s="22"/>
      <c r="I56" s="22"/>
      <c r="J56" s="22"/>
      <c r="K56" s="22"/>
      <c r="L56" s="2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28"/>
      <c r="B57" s="2"/>
      <c r="C57" s="2"/>
      <c r="D57" s="2"/>
      <c r="E57" s="2"/>
      <c r="F57" s="2"/>
      <c r="G57" s="2"/>
      <c r="H57" s="22"/>
      <c r="I57" s="22"/>
      <c r="J57" s="22"/>
      <c r="K57" s="22"/>
      <c r="L57" s="2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28"/>
      <c r="B58" s="2"/>
      <c r="C58" s="2"/>
      <c r="D58" s="2"/>
      <c r="E58" s="2"/>
      <c r="F58" s="2"/>
      <c r="G58" s="2"/>
      <c r="H58" s="22"/>
      <c r="I58" s="22"/>
      <c r="J58" s="22"/>
      <c r="K58" s="22"/>
      <c r="L58" s="2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28"/>
      <c r="B59" s="2"/>
      <c r="C59" s="2"/>
      <c r="D59" s="2"/>
      <c r="E59" s="2"/>
      <c r="F59" s="2"/>
      <c r="G59" s="2"/>
      <c r="H59" s="22"/>
      <c r="I59" s="22"/>
      <c r="J59" s="22"/>
      <c r="K59" s="22"/>
      <c r="L59" s="2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28"/>
      <c r="B60" s="2"/>
      <c r="C60" s="2"/>
      <c r="D60" s="2"/>
      <c r="E60" s="2"/>
      <c r="F60" s="2"/>
      <c r="G60" s="2"/>
      <c r="H60" s="22"/>
      <c r="I60" s="22"/>
      <c r="J60" s="22"/>
      <c r="K60" s="22"/>
      <c r="L60" s="2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28"/>
      <c r="B61" s="2"/>
      <c r="C61" s="2"/>
      <c r="D61" s="2"/>
      <c r="E61" s="2"/>
      <c r="F61" s="2"/>
      <c r="G61" s="2"/>
      <c r="H61" s="22"/>
      <c r="I61" s="22"/>
      <c r="J61" s="22"/>
      <c r="K61" s="22"/>
      <c r="L61" s="2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28"/>
      <c r="B62" s="2"/>
      <c r="C62" s="2"/>
      <c r="D62" s="2"/>
      <c r="E62" s="2"/>
      <c r="F62" s="2"/>
      <c r="G62" s="2"/>
      <c r="H62" s="22"/>
      <c r="I62" s="22"/>
      <c r="J62" s="22"/>
      <c r="K62" s="22"/>
      <c r="L62" s="2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28"/>
      <c r="B63" s="2"/>
      <c r="C63" s="2"/>
      <c r="D63" s="2"/>
      <c r="E63" s="2"/>
      <c r="F63" s="2"/>
      <c r="G63" s="2"/>
      <c r="H63" s="22"/>
      <c r="I63" s="22"/>
      <c r="J63" s="22"/>
      <c r="K63" s="22"/>
      <c r="L63" s="2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28"/>
      <c r="B64" s="2"/>
      <c r="C64" s="2"/>
      <c r="D64" s="2"/>
      <c r="E64" s="2"/>
      <c r="F64" s="2"/>
      <c r="G64" s="2"/>
      <c r="H64" s="22"/>
      <c r="I64" s="22"/>
      <c r="J64" s="22"/>
      <c r="K64" s="22"/>
      <c r="L64" s="2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28"/>
      <c r="B65" s="2"/>
      <c r="C65" s="2"/>
      <c r="D65" s="2"/>
      <c r="E65" s="2"/>
      <c r="F65" s="2"/>
      <c r="G65" s="2"/>
      <c r="H65" s="22"/>
      <c r="I65" s="22"/>
      <c r="J65" s="22"/>
      <c r="K65" s="22"/>
      <c r="L65" s="2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28"/>
      <c r="B66" s="2"/>
      <c r="C66" s="2"/>
      <c r="D66" s="2"/>
      <c r="E66" s="2"/>
      <c r="F66" s="2"/>
      <c r="G66" s="2"/>
      <c r="H66" s="22"/>
      <c r="I66" s="22"/>
      <c r="J66" s="22"/>
      <c r="K66" s="22"/>
      <c r="L66" s="2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28"/>
      <c r="B67" s="2"/>
      <c r="C67" s="2"/>
      <c r="D67" s="2"/>
      <c r="E67" s="2"/>
      <c r="F67" s="2"/>
      <c r="G67" s="2"/>
      <c r="H67" s="22"/>
      <c r="I67" s="22"/>
      <c r="J67" s="22"/>
      <c r="K67" s="22"/>
      <c r="L67" s="2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28"/>
      <c r="B68" s="2"/>
      <c r="C68" s="2"/>
      <c r="D68" s="2"/>
      <c r="E68" s="2"/>
      <c r="F68" s="2"/>
      <c r="G68" s="2"/>
      <c r="H68" s="22"/>
      <c r="I68" s="22"/>
      <c r="J68" s="22"/>
      <c r="K68" s="22"/>
      <c r="L68" s="2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28"/>
      <c r="B69" s="2"/>
      <c r="C69" s="2"/>
      <c r="D69" s="2"/>
      <c r="E69" s="2"/>
      <c r="F69" s="2"/>
      <c r="G69" s="2"/>
      <c r="H69" s="22"/>
      <c r="I69" s="22"/>
      <c r="J69" s="22"/>
      <c r="K69" s="22"/>
      <c r="L69" s="2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28"/>
      <c r="B70" s="2"/>
      <c r="C70" s="2"/>
      <c r="D70" s="2"/>
      <c r="E70" s="2"/>
      <c r="F70" s="2"/>
      <c r="G70" s="2"/>
      <c r="H70" s="22"/>
      <c r="I70" s="22"/>
      <c r="J70" s="22"/>
      <c r="K70" s="22"/>
      <c r="L70" s="2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28"/>
      <c r="B71" s="2"/>
      <c r="C71" s="2"/>
      <c r="D71" s="2"/>
      <c r="E71" s="2"/>
      <c r="F71" s="2"/>
      <c r="G71" s="2"/>
      <c r="H71" s="22"/>
      <c r="I71" s="22"/>
      <c r="J71" s="22"/>
      <c r="K71" s="22"/>
      <c r="L71" s="2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28"/>
      <c r="B72" s="2"/>
      <c r="C72" s="2"/>
      <c r="D72" s="2"/>
      <c r="E72" s="2"/>
      <c r="F72" s="2"/>
      <c r="G72" s="2"/>
      <c r="H72" s="22"/>
      <c r="I72" s="22"/>
      <c r="J72" s="22"/>
      <c r="K72" s="22"/>
      <c r="L72" s="2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28"/>
      <c r="B73" s="2"/>
      <c r="C73" s="2"/>
      <c r="D73" s="2"/>
      <c r="E73" s="2"/>
      <c r="F73" s="2"/>
      <c r="G73" s="2"/>
      <c r="H73" s="22"/>
      <c r="I73" s="22"/>
      <c r="J73" s="22"/>
      <c r="K73" s="22"/>
      <c r="L73" s="2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28"/>
      <c r="B74" s="2"/>
      <c r="C74" s="2"/>
      <c r="D74" s="2"/>
      <c r="E74" s="2"/>
      <c r="F74" s="2"/>
      <c r="G74" s="2"/>
      <c r="H74" s="22"/>
      <c r="I74" s="22"/>
      <c r="J74" s="22"/>
      <c r="K74" s="22"/>
      <c r="L74" s="2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28"/>
      <c r="B75" s="2"/>
      <c r="C75" s="2"/>
      <c r="D75" s="2"/>
      <c r="E75" s="2"/>
      <c r="F75" s="2"/>
      <c r="G75" s="2"/>
      <c r="H75" s="22"/>
      <c r="I75" s="22"/>
      <c r="J75" s="22"/>
      <c r="K75" s="22"/>
      <c r="L75" s="2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28"/>
      <c r="B76" s="2"/>
      <c r="C76" s="2"/>
      <c r="D76" s="2"/>
      <c r="E76" s="2"/>
      <c r="F76" s="2"/>
      <c r="G76" s="2"/>
      <c r="H76" s="22"/>
      <c r="I76" s="22"/>
      <c r="J76" s="22"/>
      <c r="K76" s="22"/>
      <c r="L76" s="2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28"/>
      <c r="B77" s="2"/>
      <c r="C77" s="2"/>
      <c r="D77" s="2"/>
      <c r="E77" s="2"/>
      <c r="F77" s="2"/>
      <c r="G77" s="2"/>
      <c r="H77" s="22"/>
      <c r="I77" s="22"/>
      <c r="J77" s="22"/>
      <c r="K77" s="22"/>
      <c r="L77" s="2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28"/>
      <c r="B78" s="2"/>
      <c r="C78" s="2"/>
      <c r="D78" s="2"/>
      <c r="E78" s="2"/>
      <c r="F78" s="2"/>
      <c r="G78" s="2"/>
      <c r="H78" s="22"/>
      <c r="I78" s="22"/>
      <c r="J78" s="22"/>
      <c r="K78" s="22"/>
      <c r="L78" s="2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28"/>
      <c r="B79" s="2"/>
      <c r="C79" s="2"/>
      <c r="D79" s="2"/>
      <c r="E79" s="2"/>
      <c r="F79" s="2"/>
      <c r="G79" s="2"/>
      <c r="H79" s="22"/>
      <c r="I79" s="22"/>
      <c r="J79" s="22"/>
      <c r="K79" s="22"/>
      <c r="L79" s="2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28"/>
      <c r="B80" s="2"/>
      <c r="C80" s="2"/>
      <c r="D80" s="2"/>
      <c r="E80" s="2"/>
      <c r="F80" s="2"/>
      <c r="G80" s="2"/>
      <c r="H80" s="22"/>
      <c r="I80" s="22"/>
      <c r="J80" s="22"/>
      <c r="K80" s="22"/>
      <c r="L80" s="2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28"/>
      <c r="B81" s="2"/>
      <c r="C81" s="2"/>
      <c r="D81" s="2"/>
      <c r="E81" s="2"/>
      <c r="F81" s="2"/>
      <c r="G81" s="2"/>
      <c r="H81" s="22"/>
      <c r="I81" s="22"/>
      <c r="J81" s="22"/>
      <c r="K81" s="22"/>
      <c r="L81" s="2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28"/>
      <c r="B82" s="2"/>
      <c r="C82" s="2"/>
      <c r="D82" s="2"/>
      <c r="E82" s="2"/>
      <c r="F82" s="2"/>
      <c r="G82" s="2"/>
      <c r="H82" s="22"/>
      <c r="I82" s="22"/>
      <c r="J82" s="22"/>
      <c r="K82" s="22"/>
      <c r="L82" s="2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28"/>
      <c r="B83" s="2"/>
      <c r="C83" s="2"/>
      <c r="D83" s="2"/>
      <c r="E83" s="2"/>
      <c r="F83" s="2"/>
      <c r="G83" s="2"/>
      <c r="H83" s="22"/>
      <c r="I83" s="22"/>
      <c r="J83" s="22"/>
      <c r="K83" s="22"/>
      <c r="L83" s="2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28"/>
      <c r="B84" s="2"/>
      <c r="C84" s="2"/>
      <c r="D84" s="2"/>
      <c r="E84" s="2"/>
      <c r="F84" s="2"/>
      <c r="G84" s="2"/>
      <c r="H84" s="22"/>
      <c r="I84" s="22"/>
      <c r="J84" s="22"/>
      <c r="K84" s="22"/>
      <c r="L84" s="2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28"/>
      <c r="B85" s="2"/>
      <c r="C85" s="2"/>
      <c r="D85" s="2"/>
      <c r="E85" s="2"/>
      <c r="F85" s="2"/>
      <c r="G85" s="2"/>
      <c r="H85" s="22"/>
      <c r="I85" s="22"/>
      <c r="J85" s="22"/>
      <c r="K85" s="22"/>
      <c r="L85" s="2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28"/>
      <c r="B86" s="2"/>
      <c r="C86" s="2"/>
      <c r="D86" s="2"/>
      <c r="E86" s="2"/>
      <c r="F86" s="2"/>
      <c r="G86" s="2"/>
      <c r="H86" s="22"/>
      <c r="I86" s="22"/>
      <c r="J86" s="22"/>
      <c r="K86" s="22"/>
      <c r="L86" s="2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28"/>
      <c r="B87" s="2"/>
      <c r="C87" s="2"/>
      <c r="D87" s="2"/>
      <c r="E87" s="2"/>
      <c r="F87" s="2"/>
      <c r="G87" s="2"/>
      <c r="H87" s="22"/>
      <c r="I87" s="22"/>
      <c r="J87" s="22"/>
      <c r="K87" s="22"/>
      <c r="L87" s="2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28"/>
      <c r="B88" s="2"/>
      <c r="C88" s="2"/>
      <c r="D88" s="2"/>
      <c r="E88" s="2"/>
      <c r="F88" s="2"/>
      <c r="G88" s="2"/>
      <c r="H88" s="22"/>
      <c r="I88" s="22"/>
      <c r="J88" s="22"/>
      <c r="K88" s="22"/>
      <c r="L88" s="2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28"/>
      <c r="B89" s="2"/>
      <c r="C89" s="2"/>
      <c r="D89" s="2"/>
      <c r="E89" s="2"/>
      <c r="F89" s="2"/>
      <c r="G89" s="2"/>
      <c r="H89" s="22"/>
      <c r="I89" s="22"/>
      <c r="J89" s="22"/>
      <c r="K89" s="22"/>
      <c r="L89" s="2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28"/>
      <c r="B90" s="2"/>
      <c r="C90" s="2"/>
      <c r="D90" s="2"/>
      <c r="E90" s="2"/>
      <c r="F90" s="2"/>
      <c r="G90" s="2"/>
      <c r="H90" s="22"/>
      <c r="I90" s="22"/>
      <c r="J90" s="22"/>
      <c r="K90" s="22"/>
      <c r="L90" s="2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28"/>
      <c r="B91" s="2"/>
      <c r="C91" s="2"/>
      <c r="D91" s="2"/>
      <c r="E91" s="2"/>
      <c r="F91" s="2"/>
      <c r="G91" s="2"/>
      <c r="H91" s="22"/>
      <c r="I91" s="22"/>
      <c r="J91" s="22"/>
      <c r="K91" s="22"/>
      <c r="L91" s="2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28"/>
      <c r="B92" s="2"/>
      <c r="C92" s="2"/>
      <c r="D92" s="2"/>
      <c r="E92" s="2"/>
      <c r="F92" s="2"/>
      <c r="G92" s="2"/>
      <c r="H92" s="22"/>
      <c r="I92" s="22"/>
      <c r="J92" s="22"/>
      <c r="K92" s="22"/>
      <c r="L92" s="2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28"/>
      <c r="B93" s="2"/>
      <c r="C93" s="2"/>
      <c r="D93" s="2"/>
      <c r="E93" s="2"/>
      <c r="F93" s="2"/>
      <c r="G93" s="2"/>
      <c r="H93" s="22"/>
      <c r="I93" s="22"/>
      <c r="J93" s="22"/>
      <c r="K93" s="22"/>
      <c r="L93" s="2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28"/>
      <c r="B94" s="2"/>
      <c r="C94" s="2"/>
      <c r="D94" s="2"/>
      <c r="E94" s="2"/>
      <c r="F94" s="2"/>
      <c r="G94" s="2"/>
      <c r="H94" s="22"/>
      <c r="I94" s="22"/>
      <c r="J94" s="22"/>
      <c r="K94" s="22"/>
      <c r="L94" s="2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28"/>
      <c r="B95" s="2"/>
      <c r="C95" s="2"/>
      <c r="D95" s="2"/>
      <c r="E95" s="2"/>
      <c r="F95" s="2"/>
      <c r="G95" s="2"/>
      <c r="H95" s="22"/>
      <c r="I95" s="22"/>
      <c r="J95" s="22"/>
      <c r="K95" s="22"/>
      <c r="L95" s="2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28"/>
      <c r="B96" s="2"/>
      <c r="C96" s="2"/>
      <c r="D96" s="2"/>
      <c r="E96" s="2"/>
      <c r="F96" s="2"/>
      <c r="G96" s="2"/>
      <c r="H96" s="22"/>
      <c r="I96" s="22"/>
      <c r="J96" s="22"/>
      <c r="K96" s="22"/>
      <c r="L96" s="2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28"/>
      <c r="B97" s="2"/>
      <c r="C97" s="2"/>
      <c r="D97" s="2"/>
      <c r="E97" s="2"/>
      <c r="F97" s="2"/>
      <c r="G97" s="2"/>
      <c r="H97" s="22"/>
      <c r="I97" s="22"/>
      <c r="J97" s="22"/>
      <c r="K97" s="22"/>
      <c r="L97" s="2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28"/>
      <c r="B98" s="2"/>
      <c r="C98" s="2"/>
      <c r="D98" s="2"/>
      <c r="E98" s="2"/>
      <c r="F98" s="2"/>
      <c r="G98" s="2"/>
      <c r="H98" s="22"/>
      <c r="I98" s="22"/>
      <c r="J98" s="22"/>
      <c r="K98" s="22"/>
      <c r="L98" s="2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28"/>
      <c r="B99" s="2"/>
      <c r="C99" s="2"/>
      <c r="D99" s="2"/>
      <c r="E99" s="2"/>
      <c r="F99" s="2"/>
      <c r="G99" s="2"/>
      <c r="H99" s="22"/>
      <c r="I99" s="22"/>
      <c r="J99" s="22"/>
      <c r="K99" s="22"/>
      <c r="L99" s="2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28"/>
      <c r="B100" s="2"/>
      <c r="C100" s="2"/>
      <c r="D100" s="2"/>
      <c r="E100" s="2"/>
      <c r="F100" s="2"/>
      <c r="G100" s="2"/>
      <c r="H100" s="22"/>
      <c r="I100" s="22"/>
      <c r="J100" s="22"/>
      <c r="K100" s="22"/>
      <c r="L100" s="2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28"/>
      <c r="B101" s="2"/>
      <c r="C101" s="2"/>
      <c r="D101" s="2"/>
      <c r="E101" s="2"/>
      <c r="F101" s="2"/>
      <c r="G101" s="2"/>
      <c r="H101" s="22"/>
      <c r="I101" s="22"/>
      <c r="J101" s="22"/>
      <c r="K101" s="22"/>
      <c r="L101" s="2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28"/>
      <c r="B102" s="2"/>
      <c r="C102" s="2"/>
      <c r="D102" s="2"/>
      <c r="E102" s="2"/>
      <c r="F102" s="2"/>
      <c r="G102" s="2"/>
      <c r="H102" s="22"/>
      <c r="I102" s="22"/>
      <c r="J102" s="22"/>
      <c r="K102" s="22"/>
      <c r="L102" s="2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28"/>
      <c r="B103" s="2"/>
      <c r="C103" s="2"/>
      <c r="D103" s="2"/>
      <c r="E103" s="2"/>
      <c r="F103" s="2"/>
      <c r="G103" s="2"/>
      <c r="H103" s="22"/>
      <c r="I103" s="22"/>
      <c r="J103" s="22"/>
      <c r="K103" s="22"/>
      <c r="L103" s="2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28"/>
      <c r="B104" s="2"/>
      <c r="C104" s="2"/>
      <c r="D104" s="2"/>
      <c r="E104" s="2"/>
      <c r="F104" s="2"/>
      <c r="G104" s="2"/>
      <c r="H104" s="22"/>
      <c r="I104" s="22"/>
      <c r="J104" s="22"/>
      <c r="K104" s="22"/>
      <c r="L104" s="2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28"/>
      <c r="B105" s="2"/>
      <c r="C105" s="2"/>
      <c r="D105" s="2"/>
      <c r="E105" s="2"/>
      <c r="F105" s="2"/>
      <c r="G105" s="2"/>
      <c r="H105" s="22"/>
      <c r="I105" s="22"/>
      <c r="J105" s="22"/>
      <c r="K105" s="22"/>
      <c r="L105" s="2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28"/>
      <c r="B106" s="2"/>
      <c r="C106" s="2"/>
      <c r="D106" s="2"/>
      <c r="E106" s="2"/>
      <c r="F106" s="2"/>
      <c r="G106" s="2"/>
      <c r="H106" s="22"/>
      <c r="I106" s="22"/>
      <c r="J106" s="22"/>
      <c r="K106" s="22"/>
      <c r="L106" s="2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28"/>
      <c r="B107" s="2"/>
      <c r="C107" s="2"/>
      <c r="D107" s="2"/>
      <c r="E107" s="2"/>
      <c r="F107" s="2"/>
      <c r="G107" s="2"/>
      <c r="H107" s="22"/>
      <c r="I107" s="22"/>
      <c r="J107" s="22"/>
      <c r="K107" s="22"/>
      <c r="L107" s="2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28"/>
      <c r="B108" s="2"/>
      <c r="C108" s="2"/>
      <c r="D108" s="2"/>
      <c r="E108" s="2"/>
      <c r="F108" s="2"/>
      <c r="G108" s="2"/>
      <c r="H108" s="22"/>
      <c r="I108" s="22"/>
      <c r="J108" s="22"/>
      <c r="K108" s="22"/>
      <c r="L108" s="2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28"/>
      <c r="B109" s="2"/>
      <c r="C109" s="2"/>
      <c r="D109" s="2"/>
      <c r="E109" s="2"/>
      <c r="F109" s="2"/>
      <c r="G109" s="2"/>
      <c r="H109" s="22"/>
      <c r="I109" s="22"/>
      <c r="J109" s="22"/>
      <c r="K109" s="22"/>
      <c r="L109" s="2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28"/>
      <c r="B110" s="2"/>
      <c r="C110" s="2"/>
      <c r="D110" s="2"/>
      <c r="E110" s="2"/>
      <c r="F110" s="2"/>
      <c r="G110" s="2"/>
      <c r="H110" s="22"/>
      <c r="I110" s="22"/>
      <c r="J110" s="22"/>
      <c r="K110" s="22"/>
      <c r="L110" s="2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28"/>
      <c r="B111" s="2"/>
      <c r="C111" s="2"/>
      <c r="D111" s="2"/>
      <c r="E111" s="2"/>
      <c r="F111" s="2"/>
      <c r="G111" s="2"/>
      <c r="H111" s="22"/>
      <c r="I111" s="22"/>
      <c r="J111" s="22"/>
      <c r="K111" s="22"/>
      <c r="L111" s="2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28"/>
      <c r="B112" s="2"/>
      <c r="C112" s="2"/>
      <c r="D112" s="2"/>
      <c r="E112" s="2"/>
      <c r="F112" s="2"/>
      <c r="G112" s="2"/>
      <c r="H112" s="22"/>
      <c r="I112" s="22"/>
      <c r="J112" s="22"/>
      <c r="K112" s="22"/>
      <c r="L112" s="2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28"/>
      <c r="B113" s="2"/>
      <c r="C113" s="2"/>
      <c r="D113" s="2"/>
      <c r="E113" s="2"/>
      <c r="F113" s="2"/>
      <c r="G113" s="2"/>
      <c r="H113" s="22"/>
      <c r="I113" s="22"/>
      <c r="J113" s="22"/>
      <c r="K113" s="22"/>
      <c r="L113" s="2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28"/>
      <c r="B114" s="2"/>
      <c r="C114" s="2"/>
      <c r="D114" s="2"/>
      <c r="E114" s="2"/>
      <c r="F114" s="2"/>
      <c r="G114" s="2"/>
      <c r="H114" s="22"/>
      <c r="I114" s="22"/>
      <c r="J114" s="22"/>
      <c r="K114" s="22"/>
      <c r="L114" s="2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28"/>
      <c r="B115" s="2"/>
      <c r="C115" s="2"/>
      <c r="D115" s="2"/>
      <c r="E115" s="2"/>
      <c r="F115" s="2"/>
      <c r="G115" s="2"/>
      <c r="H115" s="22"/>
      <c r="I115" s="22"/>
      <c r="J115" s="22"/>
      <c r="K115" s="22"/>
      <c r="L115" s="2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28"/>
      <c r="B116" s="2"/>
      <c r="C116" s="2"/>
      <c r="D116" s="2"/>
      <c r="E116" s="2"/>
      <c r="F116" s="2"/>
      <c r="G116" s="2"/>
      <c r="H116" s="22"/>
      <c r="I116" s="22"/>
      <c r="J116" s="22"/>
      <c r="K116" s="22"/>
      <c r="L116" s="2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28"/>
      <c r="B117" s="2"/>
      <c r="C117" s="2"/>
      <c r="D117" s="2"/>
      <c r="E117" s="2"/>
      <c r="F117" s="2"/>
      <c r="G117" s="2"/>
      <c r="H117" s="22"/>
      <c r="I117" s="22"/>
      <c r="J117" s="22"/>
      <c r="K117" s="22"/>
      <c r="L117" s="2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28"/>
      <c r="B118" s="2"/>
      <c r="C118" s="2"/>
      <c r="D118" s="2"/>
      <c r="E118" s="2"/>
      <c r="F118" s="2"/>
      <c r="G118" s="2"/>
      <c r="H118" s="22"/>
      <c r="I118" s="22"/>
      <c r="J118" s="22"/>
      <c r="K118" s="22"/>
      <c r="L118" s="2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28"/>
      <c r="B119" s="2"/>
      <c r="C119" s="2"/>
      <c r="D119" s="2"/>
      <c r="E119" s="2"/>
      <c r="F119" s="2"/>
      <c r="G119" s="2"/>
      <c r="H119" s="22"/>
      <c r="I119" s="22"/>
      <c r="J119" s="22"/>
      <c r="K119" s="22"/>
      <c r="L119" s="2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28"/>
      <c r="B120" s="2"/>
      <c r="C120" s="2"/>
      <c r="D120" s="2"/>
      <c r="E120" s="2"/>
      <c r="F120" s="2"/>
      <c r="G120" s="2"/>
      <c r="H120" s="22"/>
      <c r="I120" s="22"/>
      <c r="J120" s="22"/>
      <c r="K120" s="22"/>
      <c r="L120" s="2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28"/>
      <c r="B121" s="2"/>
      <c r="C121" s="2"/>
      <c r="D121" s="2"/>
      <c r="E121" s="2"/>
      <c r="F121" s="2"/>
      <c r="G121" s="2"/>
      <c r="H121" s="22"/>
      <c r="I121" s="22"/>
      <c r="J121" s="22"/>
      <c r="K121" s="22"/>
      <c r="L121" s="2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28"/>
      <c r="B122" s="2"/>
      <c r="C122" s="2"/>
      <c r="D122" s="2"/>
      <c r="E122" s="2"/>
      <c r="F122" s="2"/>
      <c r="G122" s="2"/>
      <c r="H122" s="22"/>
      <c r="I122" s="22"/>
      <c r="J122" s="22"/>
      <c r="K122" s="22"/>
      <c r="L122" s="2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28"/>
      <c r="B123" s="2"/>
      <c r="C123" s="2"/>
      <c r="D123" s="2"/>
      <c r="E123" s="2"/>
      <c r="F123" s="2"/>
      <c r="G123" s="2"/>
      <c r="H123" s="22"/>
      <c r="I123" s="22"/>
      <c r="J123" s="22"/>
      <c r="K123" s="22"/>
      <c r="L123" s="2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28"/>
      <c r="B124" s="2"/>
      <c r="C124" s="2"/>
      <c r="D124" s="2"/>
      <c r="E124" s="2"/>
      <c r="F124" s="2"/>
      <c r="G124" s="2"/>
      <c r="H124" s="22"/>
      <c r="I124" s="22"/>
      <c r="J124" s="22"/>
      <c r="K124" s="22"/>
      <c r="L124" s="2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28"/>
      <c r="B125" s="2"/>
      <c r="C125" s="2"/>
      <c r="D125" s="2"/>
      <c r="E125" s="2"/>
      <c r="F125" s="2"/>
      <c r="G125" s="2"/>
      <c r="H125" s="22"/>
      <c r="I125" s="22"/>
      <c r="J125" s="22"/>
      <c r="K125" s="22"/>
      <c r="L125" s="2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28"/>
      <c r="B126" s="2"/>
      <c r="C126" s="2"/>
      <c r="D126" s="2"/>
      <c r="E126" s="2"/>
      <c r="F126" s="2"/>
      <c r="G126" s="2"/>
      <c r="H126" s="22"/>
      <c r="I126" s="22"/>
      <c r="J126" s="22"/>
      <c r="K126" s="22"/>
      <c r="L126" s="2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28"/>
      <c r="B127" s="2"/>
      <c r="C127" s="2"/>
      <c r="D127" s="2"/>
      <c r="E127" s="2"/>
      <c r="F127" s="2"/>
      <c r="G127" s="2"/>
      <c r="H127" s="22"/>
      <c r="I127" s="22"/>
      <c r="J127" s="22"/>
      <c r="K127" s="22"/>
      <c r="L127" s="2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28"/>
      <c r="B128" s="2"/>
      <c r="C128" s="2"/>
      <c r="D128" s="2"/>
      <c r="E128" s="2"/>
      <c r="F128" s="2"/>
      <c r="G128" s="2"/>
      <c r="H128" s="22"/>
      <c r="I128" s="22"/>
      <c r="J128" s="22"/>
      <c r="K128" s="22"/>
      <c r="L128" s="2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28"/>
      <c r="B129" s="2"/>
      <c r="C129" s="2"/>
      <c r="D129" s="2"/>
      <c r="E129" s="2"/>
      <c r="F129" s="2"/>
      <c r="G129" s="2"/>
      <c r="H129" s="22"/>
      <c r="I129" s="22"/>
      <c r="J129" s="22"/>
      <c r="K129" s="22"/>
      <c r="L129" s="2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28"/>
      <c r="B130" s="2"/>
      <c r="C130" s="2"/>
      <c r="D130" s="2"/>
      <c r="E130" s="2"/>
      <c r="F130" s="2"/>
      <c r="G130" s="2"/>
      <c r="H130" s="22"/>
      <c r="I130" s="22"/>
      <c r="J130" s="22"/>
      <c r="K130" s="22"/>
      <c r="L130" s="2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28"/>
      <c r="B131" s="2"/>
      <c r="C131" s="2"/>
      <c r="D131" s="2"/>
      <c r="E131" s="2"/>
      <c r="F131" s="2"/>
      <c r="G131" s="2"/>
      <c r="H131" s="22"/>
      <c r="I131" s="22"/>
      <c r="J131" s="22"/>
      <c r="K131" s="22"/>
      <c r="L131" s="2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28"/>
      <c r="B132" s="2"/>
      <c r="C132" s="2"/>
      <c r="D132" s="2"/>
      <c r="E132" s="2"/>
      <c r="F132" s="2"/>
      <c r="G132" s="2"/>
      <c r="H132" s="22"/>
      <c r="I132" s="22"/>
      <c r="J132" s="22"/>
      <c r="K132" s="22"/>
      <c r="L132" s="2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28"/>
      <c r="B133" s="2"/>
      <c r="C133" s="2"/>
      <c r="D133" s="2"/>
      <c r="E133" s="2"/>
      <c r="F133" s="2"/>
      <c r="G133" s="2"/>
      <c r="H133" s="22"/>
      <c r="I133" s="22"/>
      <c r="J133" s="22"/>
      <c r="K133" s="22"/>
      <c r="L133" s="2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28"/>
      <c r="B134" s="2"/>
      <c r="C134" s="2"/>
      <c r="D134" s="2"/>
      <c r="E134" s="2"/>
      <c r="F134" s="2"/>
      <c r="G134" s="2"/>
      <c r="H134" s="22"/>
      <c r="I134" s="22"/>
      <c r="J134" s="22"/>
      <c r="K134" s="22"/>
      <c r="L134" s="2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28"/>
      <c r="B135" s="2"/>
      <c r="C135" s="2"/>
      <c r="D135" s="2"/>
      <c r="E135" s="2"/>
      <c r="F135" s="2"/>
      <c r="G135" s="2"/>
      <c r="H135" s="22"/>
      <c r="I135" s="22"/>
      <c r="J135" s="22"/>
      <c r="K135" s="22"/>
      <c r="L135" s="2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28"/>
      <c r="B136" s="2"/>
      <c r="C136" s="2"/>
      <c r="D136" s="2"/>
      <c r="E136" s="2"/>
      <c r="F136" s="2"/>
      <c r="G136" s="2"/>
      <c r="H136" s="22"/>
      <c r="I136" s="22"/>
      <c r="J136" s="22"/>
      <c r="K136" s="22"/>
      <c r="L136" s="2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28"/>
      <c r="B137" s="2"/>
      <c r="C137" s="2"/>
      <c r="D137" s="2"/>
      <c r="E137" s="2"/>
      <c r="F137" s="2"/>
      <c r="G137" s="2"/>
      <c r="H137" s="22"/>
      <c r="I137" s="22"/>
      <c r="J137" s="22"/>
      <c r="K137" s="22"/>
      <c r="L137" s="2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28"/>
      <c r="B138" s="2"/>
      <c r="C138" s="2"/>
      <c r="D138" s="2"/>
      <c r="E138" s="2"/>
      <c r="F138" s="2"/>
      <c r="G138" s="2"/>
      <c r="H138" s="22"/>
      <c r="I138" s="22"/>
      <c r="J138" s="22"/>
      <c r="K138" s="22"/>
      <c r="L138" s="2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28"/>
      <c r="B139" s="2"/>
      <c r="C139" s="2"/>
      <c r="D139" s="2"/>
      <c r="E139" s="2"/>
      <c r="F139" s="2"/>
      <c r="G139" s="2"/>
      <c r="H139" s="22"/>
      <c r="I139" s="22"/>
      <c r="J139" s="22"/>
      <c r="K139" s="22"/>
      <c r="L139" s="2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28"/>
      <c r="B140" s="2"/>
      <c r="C140" s="2"/>
      <c r="D140" s="2"/>
      <c r="E140" s="2"/>
      <c r="F140" s="2"/>
      <c r="G140" s="2"/>
      <c r="H140" s="22"/>
      <c r="I140" s="22"/>
      <c r="J140" s="22"/>
      <c r="K140" s="22"/>
      <c r="L140" s="2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28"/>
      <c r="B141" s="2"/>
      <c r="C141" s="2"/>
      <c r="D141" s="2"/>
      <c r="E141" s="2"/>
      <c r="F141" s="2"/>
      <c r="G141" s="2"/>
      <c r="H141" s="22"/>
      <c r="I141" s="22"/>
      <c r="J141" s="22"/>
      <c r="K141" s="22"/>
      <c r="L141" s="2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28"/>
      <c r="B142" s="2"/>
      <c r="C142" s="2"/>
      <c r="D142" s="2"/>
      <c r="E142" s="2"/>
      <c r="F142" s="2"/>
      <c r="G142" s="2"/>
      <c r="H142" s="22"/>
      <c r="I142" s="22"/>
      <c r="J142" s="22"/>
      <c r="K142" s="22"/>
      <c r="L142" s="2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28"/>
      <c r="B143" s="2"/>
      <c r="C143" s="2"/>
      <c r="D143" s="2"/>
      <c r="E143" s="2"/>
      <c r="F143" s="2"/>
      <c r="G143" s="2"/>
      <c r="H143" s="22"/>
      <c r="I143" s="22"/>
      <c r="J143" s="22"/>
      <c r="K143" s="22"/>
      <c r="L143" s="2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28"/>
      <c r="B144" s="2"/>
      <c r="C144" s="2"/>
      <c r="D144" s="2"/>
      <c r="E144" s="2"/>
      <c r="F144" s="2"/>
      <c r="G144" s="2"/>
      <c r="H144" s="22"/>
      <c r="I144" s="22"/>
      <c r="J144" s="22"/>
      <c r="K144" s="22"/>
      <c r="L144" s="2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28"/>
      <c r="B145" s="2"/>
      <c r="C145" s="2"/>
      <c r="D145" s="2"/>
      <c r="E145" s="2"/>
      <c r="F145" s="2"/>
      <c r="G145" s="2"/>
      <c r="H145" s="22"/>
      <c r="I145" s="22"/>
      <c r="J145" s="22"/>
      <c r="K145" s="22"/>
      <c r="L145" s="2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28"/>
      <c r="B146" s="2"/>
      <c r="C146" s="2"/>
      <c r="D146" s="2"/>
      <c r="E146" s="2"/>
      <c r="F146" s="2"/>
      <c r="G146" s="2"/>
      <c r="H146" s="22"/>
      <c r="I146" s="22"/>
      <c r="J146" s="22"/>
      <c r="K146" s="22"/>
      <c r="L146" s="2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28"/>
      <c r="B147" s="2"/>
      <c r="C147" s="2"/>
      <c r="D147" s="2"/>
      <c r="E147" s="2"/>
      <c r="F147" s="2"/>
      <c r="G147" s="2"/>
      <c r="H147" s="22"/>
      <c r="I147" s="22"/>
      <c r="J147" s="22"/>
      <c r="K147" s="22"/>
      <c r="L147" s="2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28"/>
      <c r="B148" s="2"/>
      <c r="C148" s="2"/>
      <c r="D148" s="2"/>
      <c r="E148" s="2"/>
      <c r="F148" s="2"/>
      <c r="G148" s="2"/>
      <c r="H148" s="22"/>
      <c r="I148" s="22"/>
      <c r="J148" s="22"/>
      <c r="K148" s="22"/>
      <c r="L148" s="2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28"/>
      <c r="B149" s="2"/>
      <c r="C149" s="2"/>
      <c r="D149" s="2"/>
      <c r="E149" s="2"/>
      <c r="F149" s="2"/>
      <c r="G149" s="2"/>
      <c r="H149" s="22"/>
      <c r="I149" s="22"/>
      <c r="J149" s="22"/>
      <c r="K149" s="22"/>
      <c r="L149" s="2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28"/>
      <c r="B150" s="2"/>
      <c r="C150" s="2"/>
      <c r="D150" s="2"/>
      <c r="E150" s="2"/>
      <c r="F150" s="2"/>
      <c r="G150" s="2"/>
      <c r="H150" s="22"/>
      <c r="I150" s="22"/>
      <c r="J150" s="22"/>
      <c r="K150" s="22"/>
      <c r="L150" s="2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28"/>
      <c r="B151" s="2"/>
      <c r="C151" s="2"/>
      <c r="D151" s="2"/>
      <c r="E151" s="2"/>
      <c r="F151" s="2"/>
      <c r="G151" s="2"/>
      <c r="H151" s="22"/>
      <c r="I151" s="22"/>
      <c r="J151" s="22"/>
      <c r="K151" s="22"/>
      <c r="L151" s="2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28"/>
      <c r="B152" s="2"/>
      <c r="C152" s="2"/>
      <c r="D152" s="2"/>
      <c r="E152" s="2"/>
      <c r="F152" s="2"/>
      <c r="G152" s="2"/>
      <c r="H152" s="22"/>
      <c r="I152" s="22"/>
      <c r="J152" s="22"/>
      <c r="K152" s="22"/>
      <c r="L152" s="2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28"/>
      <c r="B153" s="2"/>
      <c r="C153" s="2"/>
      <c r="D153" s="2"/>
      <c r="E153" s="2"/>
      <c r="F153" s="2"/>
      <c r="G153" s="2"/>
      <c r="H153" s="22"/>
      <c r="I153" s="22"/>
      <c r="J153" s="22"/>
      <c r="K153" s="22"/>
      <c r="L153" s="2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28"/>
      <c r="B154" s="2"/>
      <c r="C154" s="2"/>
      <c r="D154" s="2"/>
      <c r="E154" s="2"/>
      <c r="F154" s="2"/>
      <c r="G154" s="2"/>
      <c r="H154" s="22"/>
      <c r="I154" s="22"/>
      <c r="J154" s="22"/>
      <c r="K154" s="22"/>
      <c r="L154" s="2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28"/>
      <c r="B155" s="2"/>
      <c r="C155" s="2"/>
      <c r="D155" s="2"/>
      <c r="E155" s="2"/>
      <c r="F155" s="2"/>
      <c r="G155" s="2"/>
      <c r="H155" s="22"/>
      <c r="I155" s="22"/>
      <c r="J155" s="22"/>
      <c r="K155" s="22"/>
      <c r="L155" s="2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28"/>
      <c r="B156" s="2"/>
      <c r="C156" s="2"/>
      <c r="D156" s="2"/>
      <c r="E156" s="2"/>
      <c r="F156" s="2"/>
      <c r="G156" s="2"/>
      <c r="H156" s="22"/>
      <c r="I156" s="22"/>
      <c r="J156" s="22"/>
      <c r="K156" s="22"/>
      <c r="L156" s="2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28"/>
      <c r="B157" s="2"/>
      <c r="C157" s="2"/>
      <c r="D157" s="2"/>
      <c r="E157" s="2"/>
      <c r="F157" s="2"/>
      <c r="G157" s="2"/>
      <c r="H157" s="22"/>
      <c r="I157" s="22"/>
      <c r="J157" s="22"/>
      <c r="K157" s="22"/>
      <c r="L157" s="2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28"/>
      <c r="B158" s="2"/>
      <c r="C158" s="2"/>
      <c r="D158" s="2"/>
      <c r="E158" s="2"/>
      <c r="F158" s="2"/>
      <c r="G158" s="2"/>
      <c r="H158" s="22"/>
      <c r="I158" s="22"/>
      <c r="J158" s="22"/>
      <c r="K158" s="22"/>
      <c r="L158" s="2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28"/>
      <c r="B159" s="2"/>
      <c r="C159" s="2"/>
      <c r="D159" s="2"/>
      <c r="E159" s="2"/>
      <c r="F159" s="2"/>
      <c r="G159" s="2"/>
      <c r="H159" s="22"/>
      <c r="I159" s="22"/>
      <c r="J159" s="22"/>
      <c r="K159" s="22"/>
      <c r="L159" s="2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28"/>
      <c r="B160" s="2"/>
      <c r="C160" s="2"/>
      <c r="D160" s="2"/>
      <c r="E160" s="2"/>
      <c r="F160" s="2"/>
      <c r="G160" s="2"/>
      <c r="H160" s="22"/>
      <c r="I160" s="22"/>
      <c r="J160" s="22"/>
      <c r="K160" s="22"/>
      <c r="L160" s="2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28"/>
      <c r="B161" s="2"/>
      <c r="C161" s="2"/>
      <c r="D161" s="2"/>
      <c r="E161" s="2"/>
      <c r="F161" s="2"/>
      <c r="G161" s="2"/>
      <c r="H161" s="22"/>
      <c r="I161" s="22"/>
      <c r="J161" s="22"/>
      <c r="K161" s="22"/>
      <c r="L161" s="2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28"/>
      <c r="B162" s="2"/>
      <c r="C162" s="2"/>
      <c r="D162" s="2"/>
      <c r="E162" s="2"/>
      <c r="F162" s="2"/>
      <c r="G162" s="2"/>
      <c r="H162" s="22"/>
      <c r="I162" s="22"/>
      <c r="J162" s="22"/>
      <c r="K162" s="22"/>
      <c r="L162" s="2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28"/>
      <c r="B163" s="2"/>
      <c r="C163" s="2"/>
      <c r="D163" s="2"/>
      <c r="E163" s="2"/>
      <c r="F163" s="2"/>
      <c r="G163" s="2"/>
      <c r="H163" s="22"/>
      <c r="I163" s="22"/>
      <c r="J163" s="22"/>
      <c r="K163" s="22"/>
      <c r="L163" s="2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28"/>
      <c r="B164" s="2"/>
      <c r="C164" s="2"/>
      <c r="D164" s="2"/>
      <c r="E164" s="2"/>
      <c r="F164" s="2"/>
      <c r="G164" s="2"/>
      <c r="H164" s="22"/>
      <c r="I164" s="22"/>
      <c r="J164" s="22"/>
      <c r="K164" s="22"/>
      <c r="L164" s="2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28"/>
      <c r="B165" s="2"/>
      <c r="C165" s="2"/>
      <c r="D165" s="2"/>
      <c r="E165" s="2"/>
      <c r="F165" s="2"/>
      <c r="G165" s="2"/>
      <c r="H165" s="22"/>
      <c r="I165" s="22"/>
      <c r="J165" s="22"/>
      <c r="K165" s="22"/>
      <c r="L165" s="2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28"/>
      <c r="B166" s="2"/>
      <c r="C166" s="2"/>
      <c r="D166" s="2"/>
      <c r="E166" s="2"/>
      <c r="F166" s="2"/>
      <c r="G166" s="2"/>
      <c r="H166" s="22"/>
      <c r="I166" s="22"/>
      <c r="J166" s="22"/>
      <c r="K166" s="22"/>
      <c r="L166" s="2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28"/>
      <c r="B167" s="2"/>
      <c r="C167" s="2"/>
      <c r="D167" s="2"/>
      <c r="E167" s="2"/>
      <c r="F167" s="2"/>
      <c r="G167" s="2"/>
      <c r="H167" s="22"/>
      <c r="I167" s="22"/>
      <c r="J167" s="22"/>
      <c r="K167" s="22"/>
      <c r="L167" s="2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28"/>
      <c r="B168" s="2"/>
      <c r="C168" s="2"/>
      <c r="D168" s="2"/>
      <c r="E168" s="2"/>
      <c r="F168" s="2"/>
      <c r="G168" s="2"/>
      <c r="H168" s="22"/>
      <c r="I168" s="22"/>
      <c r="J168" s="22"/>
      <c r="K168" s="22"/>
      <c r="L168" s="2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28"/>
      <c r="B169" s="2"/>
      <c r="C169" s="2"/>
      <c r="D169" s="2"/>
      <c r="E169" s="2"/>
      <c r="F169" s="2"/>
      <c r="G169" s="2"/>
      <c r="H169" s="22"/>
      <c r="I169" s="22"/>
      <c r="J169" s="22"/>
      <c r="K169" s="22"/>
      <c r="L169" s="2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28"/>
      <c r="B170" s="2"/>
      <c r="C170" s="2"/>
      <c r="D170" s="2"/>
      <c r="E170" s="2"/>
      <c r="F170" s="2"/>
      <c r="G170" s="2"/>
      <c r="H170" s="22"/>
      <c r="I170" s="22"/>
      <c r="J170" s="22"/>
      <c r="K170" s="22"/>
      <c r="L170" s="2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28"/>
      <c r="B171" s="2"/>
      <c r="C171" s="2"/>
      <c r="D171" s="2"/>
      <c r="E171" s="2"/>
      <c r="F171" s="2"/>
      <c r="G171" s="2"/>
      <c r="H171" s="22"/>
      <c r="I171" s="22"/>
      <c r="J171" s="22"/>
      <c r="K171" s="22"/>
      <c r="L171" s="2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28"/>
      <c r="B172" s="2"/>
      <c r="C172" s="2"/>
      <c r="D172" s="2"/>
      <c r="E172" s="2"/>
      <c r="F172" s="2"/>
      <c r="G172" s="2"/>
      <c r="H172" s="22"/>
      <c r="I172" s="22"/>
      <c r="J172" s="22"/>
      <c r="K172" s="22"/>
      <c r="L172" s="2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28"/>
      <c r="B173" s="2"/>
      <c r="C173" s="2"/>
      <c r="D173" s="2"/>
      <c r="E173" s="2"/>
      <c r="F173" s="2"/>
      <c r="G173" s="2"/>
      <c r="H173" s="22"/>
      <c r="I173" s="22"/>
      <c r="J173" s="22"/>
      <c r="K173" s="22"/>
      <c r="L173" s="2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28"/>
      <c r="B174" s="2"/>
      <c r="C174" s="2"/>
      <c r="D174" s="2"/>
      <c r="E174" s="2"/>
      <c r="F174" s="2"/>
      <c r="G174" s="2"/>
      <c r="H174" s="22"/>
      <c r="I174" s="22"/>
      <c r="J174" s="22"/>
      <c r="K174" s="22"/>
      <c r="L174" s="2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28"/>
      <c r="B175" s="2"/>
      <c r="C175" s="2"/>
      <c r="D175" s="2"/>
      <c r="E175" s="2"/>
      <c r="F175" s="2"/>
      <c r="G175" s="2"/>
      <c r="H175" s="22"/>
      <c r="I175" s="22"/>
      <c r="J175" s="22"/>
      <c r="K175" s="22"/>
      <c r="L175" s="2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28"/>
      <c r="B176" s="2"/>
      <c r="C176" s="2"/>
      <c r="D176" s="2"/>
      <c r="E176" s="2"/>
      <c r="F176" s="2"/>
      <c r="G176" s="2"/>
      <c r="H176" s="22"/>
      <c r="I176" s="22"/>
      <c r="J176" s="22"/>
      <c r="K176" s="22"/>
      <c r="L176" s="2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28"/>
      <c r="B177" s="2"/>
      <c r="C177" s="2"/>
      <c r="D177" s="2"/>
      <c r="E177" s="2"/>
      <c r="F177" s="2"/>
      <c r="G177" s="2"/>
      <c r="H177" s="22"/>
      <c r="I177" s="22"/>
      <c r="J177" s="22"/>
      <c r="K177" s="22"/>
      <c r="L177" s="2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28"/>
      <c r="B178" s="2"/>
      <c r="C178" s="2"/>
      <c r="D178" s="2"/>
      <c r="E178" s="2"/>
      <c r="F178" s="2"/>
      <c r="G178" s="2"/>
      <c r="H178" s="22"/>
      <c r="I178" s="22"/>
      <c r="J178" s="22"/>
      <c r="K178" s="22"/>
      <c r="L178" s="2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28"/>
      <c r="B179" s="2"/>
      <c r="C179" s="2"/>
      <c r="D179" s="2"/>
      <c r="E179" s="2"/>
      <c r="F179" s="2"/>
      <c r="G179" s="2"/>
      <c r="H179" s="22"/>
      <c r="I179" s="22"/>
      <c r="J179" s="22"/>
      <c r="K179" s="22"/>
      <c r="L179" s="2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28"/>
      <c r="B180" s="2"/>
      <c r="C180" s="2"/>
      <c r="D180" s="2"/>
      <c r="E180" s="2"/>
      <c r="F180" s="2"/>
      <c r="G180" s="2"/>
      <c r="H180" s="22"/>
      <c r="I180" s="22"/>
      <c r="J180" s="22"/>
      <c r="K180" s="22"/>
      <c r="L180" s="2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28"/>
      <c r="B181" s="2"/>
      <c r="C181" s="2"/>
      <c r="D181" s="2"/>
      <c r="E181" s="2"/>
      <c r="F181" s="2"/>
      <c r="G181" s="2"/>
      <c r="H181" s="22"/>
      <c r="I181" s="22"/>
      <c r="J181" s="22"/>
      <c r="K181" s="22"/>
      <c r="L181" s="2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28"/>
      <c r="B182" s="2"/>
      <c r="C182" s="2"/>
      <c r="D182" s="2"/>
      <c r="E182" s="2"/>
      <c r="F182" s="2"/>
      <c r="G182" s="2"/>
      <c r="H182" s="22"/>
      <c r="I182" s="22"/>
      <c r="J182" s="22"/>
      <c r="K182" s="22"/>
      <c r="L182" s="2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28"/>
      <c r="B183" s="2"/>
      <c r="C183" s="2"/>
      <c r="D183" s="2"/>
      <c r="E183" s="2"/>
      <c r="F183" s="2"/>
      <c r="G183" s="2"/>
      <c r="H183" s="22"/>
      <c r="I183" s="22"/>
      <c r="J183" s="22"/>
      <c r="K183" s="22"/>
      <c r="L183" s="2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28"/>
      <c r="B184" s="2"/>
      <c r="C184" s="2"/>
      <c r="D184" s="2"/>
      <c r="E184" s="2"/>
      <c r="F184" s="2"/>
      <c r="G184" s="2"/>
      <c r="H184" s="22"/>
      <c r="I184" s="22"/>
      <c r="J184" s="22"/>
      <c r="K184" s="22"/>
      <c r="L184" s="2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28"/>
      <c r="B185" s="2"/>
      <c r="C185" s="2"/>
      <c r="D185" s="2"/>
      <c r="E185" s="2"/>
      <c r="F185" s="2"/>
      <c r="G185" s="2"/>
      <c r="H185" s="22"/>
      <c r="I185" s="22"/>
      <c r="J185" s="22"/>
      <c r="K185" s="22"/>
      <c r="L185" s="2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28"/>
      <c r="B186" s="2"/>
      <c r="C186" s="2"/>
      <c r="D186" s="2"/>
      <c r="E186" s="2"/>
      <c r="F186" s="2"/>
      <c r="G186" s="2"/>
      <c r="H186" s="22"/>
      <c r="I186" s="22"/>
      <c r="J186" s="22"/>
      <c r="K186" s="22"/>
      <c r="L186" s="2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28"/>
      <c r="B187" s="2"/>
      <c r="C187" s="2"/>
      <c r="D187" s="2"/>
      <c r="E187" s="2"/>
      <c r="F187" s="2"/>
      <c r="G187" s="2"/>
      <c r="H187" s="22"/>
      <c r="I187" s="22"/>
      <c r="J187" s="22"/>
      <c r="K187" s="22"/>
      <c r="L187" s="2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28"/>
      <c r="B188" s="2"/>
      <c r="C188" s="2"/>
      <c r="D188" s="2"/>
      <c r="E188" s="2"/>
      <c r="F188" s="2"/>
      <c r="G188" s="2"/>
      <c r="H188" s="22"/>
      <c r="I188" s="22"/>
      <c r="J188" s="22"/>
      <c r="K188" s="22"/>
      <c r="L188" s="2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28"/>
      <c r="B189" s="2"/>
      <c r="C189" s="2"/>
      <c r="D189" s="2"/>
      <c r="E189" s="2"/>
      <c r="F189" s="2"/>
      <c r="G189" s="2"/>
      <c r="H189" s="22"/>
      <c r="I189" s="22"/>
      <c r="J189" s="22"/>
      <c r="K189" s="22"/>
      <c r="L189" s="2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28"/>
      <c r="B190" s="2"/>
      <c r="C190" s="2"/>
      <c r="D190" s="2"/>
      <c r="E190" s="2"/>
      <c r="F190" s="2"/>
      <c r="G190" s="2"/>
      <c r="H190" s="22"/>
      <c r="I190" s="22"/>
      <c r="J190" s="22"/>
      <c r="K190" s="22"/>
      <c r="L190" s="2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28"/>
      <c r="B191" s="2"/>
      <c r="C191" s="2"/>
      <c r="D191" s="2"/>
      <c r="E191" s="2"/>
      <c r="F191" s="2"/>
      <c r="G191" s="2"/>
      <c r="H191" s="22"/>
      <c r="I191" s="22"/>
      <c r="J191" s="22"/>
      <c r="K191" s="22"/>
      <c r="L191" s="2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28"/>
      <c r="B192" s="2"/>
      <c r="C192" s="2"/>
      <c r="D192" s="2"/>
      <c r="E192" s="2"/>
      <c r="F192" s="2"/>
      <c r="G192" s="2"/>
      <c r="H192" s="22"/>
      <c r="I192" s="22"/>
      <c r="J192" s="22"/>
      <c r="K192" s="22"/>
      <c r="L192" s="2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28"/>
      <c r="B193" s="2"/>
      <c r="C193" s="2"/>
      <c r="D193" s="2"/>
      <c r="E193" s="2"/>
      <c r="F193" s="2"/>
      <c r="G193" s="2"/>
      <c r="H193" s="22"/>
      <c r="I193" s="22"/>
      <c r="J193" s="22"/>
      <c r="K193" s="22"/>
      <c r="L193" s="2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28"/>
      <c r="B194" s="2"/>
      <c r="C194" s="2"/>
      <c r="D194" s="2"/>
      <c r="E194" s="2"/>
      <c r="F194" s="2"/>
      <c r="G194" s="2"/>
      <c r="H194" s="22"/>
      <c r="I194" s="22"/>
      <c r="J194" s="22"/>
      <c r="K194" s="22"/>
      <c r="L194" s="2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28"/>
      <c r="B195" s="2"/>
      <c r="C195" s="2"/>
      <c r="D195" s="2"/>
      <c r="E195" s="2"/>
      <c r="F195" s="2"/>
      <c r="G195" s="2"/>
      <c r="H195" s="22"/>
      <c r="I195" s="22"/>
      <c r="J195" s="22"/>
      <c r="K195" s="22"/>
      <c r="L195" s="2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28"/>
      <c r="B196" s="2"/>
      <c r="C196" s="2"/>
      <c r="D196" s="2"/>
      <c r="E196" s="2"/>
      <c r="F196" s="2"/>
      <c r="G196" s="2"/>
      <c r="H196" s="22"/>
      <c r="I196" s="22"/>
      <c r="J196" s="22"/>
      <c r="K196" s="22"/>
      <c r="L196" s="2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28"/>
      <c r="B197" s="2"/>
      <c r="C197" s="2"/>
      <c r="D197" s="2"/>
      <c r="E197" s="2"/>
      <c r="F197" s="2"/>
      <c r="G197" s="2"/>
      <c r="H197" s="22"/>
      <c r="I197" s="22"/>
      <c r="J197" s="22"/>
      <c r="K197" s="22"/>
      <c r="L197" s="2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28"/>
      <c r="B198" s="2"/>
      <c r="C198" s="2"/>
      <c r="D198" s="2"/>
      <c r="E198" s="2"/>
      <c r="F198" s="2"/>
      <c r="G198" s="2"/>
      <c r="H198" s="22"/>
      <c r="I198" s="22"/>
      <c r="J198" s="22"/>
      <c r="K198" s="22"/>
      <c r="L198" s="2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28"/>
      <c r="B199" s="2"/>
      <c r="C199" s="2"/>
      <c r="D199" s="2"/>
      <c r="E199" s="2"/>
      <c r="F199" s="2"/>
      <c r="G199" s="2"/>
      <c r="H199" s="22"/>
      <c r="I199" s="22"/>
      <c r="J199" s="22"/>
      <c r="K199" s="22"/>
      <c r="L199" s="2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28"/>
      <c r="B200" s="2"/>
      <c r="C200" s="2"/>
      <c r="D200" s="2"/>
      <c r="E200" s="2"/>
      <c r="F200" s="2"/>
      <c r="G200" s="2"/>
      <c r="H200" s="22"/>
      <c r="I200" s="22"/>
      <c r="J200" s="22"/>
      <c r="K200" s="22"/>
      <c r="L200" s="2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28"/>
      <c r="B201" s="2"/>
      <c r="C201" s="2"/>
      <c r="D201" s="2"/>
      <c r="E201" s="2"/>
      <c r="F201" s="2"/>
      <c r="G201" s="2"/>
      <c r="H201" s="22"/>
      <c r="I201" s="22"/>
      <c r="J201" s="22"/>
      <c r="K201" s="22"/>
      <c r="L201" s="2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28"/>
      <c r="B202" s="2"/>
      <c r="C202" s="2"/>
      <c r="D202" s="2"/>
      <c r="E202" s="2"/>
      <c r="F202" s="2"/>
      <c r="G202" s="2"/>
      <c r="H202" s="22"/>
      <c r="I202" s="22"/>
      <c r="J202" s="22"/>
      <c r="K202" s="22"/>
      <c r="L202" s="2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28"/>
      <c r="B203" s="2"/>
      <c r="C203" s="2"/>
      <c r="D203" s="2"/>
      <c r="E203" s="2"/>
      <c r="F203" s="2"/>
      <c r="G203" s="2"/>
      <c r="H203" s="22"/>
      <c r="I203" s="22"/>
      <c r="J203" s="22"/>
      <c r="K203" s="22"/>
      <c r="L203" s="2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28"/>
      <c r="B204" s="2"/>
      <c r="C204" s="2"/>
      <c r="D204" s="2"/>
      <c r="E204" s="2"/>
      <c r="F204" s="2"/>
      <c r="G204" s="2"/>
      <c r="H204" s="22"/>
      <c r="I204" s="22"/>
      <c r="J204" s="22"/>
      <c r="K204" s="22"/>
      <c r="L204" s="2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28"/>
      <c r="B205" s="2"/>
      <c r="C205" s="2"/>
      <c r="D205" s="2"/>
      <c r="E205" s="2"/>
      <c r="F205" s="2"/>
      <c r="G205" s="2"/>
      <c r="H205" s="22"/>
      <c r="I205" s="22"/>
      <c r="J205" s="22"/>
      <c r="K205" s="22"/>
      <c r="L205" s="2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28"/>
      <c r="B206" s="2"/>
      <c r="C206" s="2"/>
      <c r="D206" s="2"/>
      <c r="E206" s="2"/>
      <c r="F206" s="2"/>
      <c r="G206" s="2"/>
      <c r="H206" s="22"/>
      <c r="I206" s="22"/>
      <c r="J206" s="22"/>
      <c r="K206" s="22"/>
      <c r="L206" s="2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28"/>
      <c r="B207" s="2"/>
      <c r="C207" s="2"/>
      <c r="D207" s="2"/>
      <c r="E207" s="2"/>
      <c r="F207" s="2"/>
      <c r="G207" s="2"/>
      <c r="H207" s="22"/>
      <c r="I207" s="22"/>
      <c r="J207" s="22"/>
      <c r="K207" s="22"/>
      <c r="L207" s="2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28"/>
      <c r="B208" s="2"/>
      <c r="C208" s="2"/>
      <c r="D208" s="2"/>
      <c r="E208" s="2"/>
      <c r="F208" s="2"/>
      <c r="G208" s="2"/>
      <c r="H208" s="22"/>
      <c r="I208" s="22"/>
      <c r="J208" s="22"/>
      <c r="K208" s="22"/>
      <c r="L208" s="2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28"/>
      <c r="B209" s="2"/>
      <c r="C209" s="2"/>
      <c r="D209" s="2"/>
      <c r="E209" s="2"/>
      <c r="F209" s="2"/>
      <c r="G209" s="2"/>
      <c r="H209" s="22"/>
      <c r="I209" s="22"/>
      <c r="J209" s="22"/>
      <c r="K209" s="22"/>
      <c r="L209" s="2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28"/>
      <c r="B210" s="2"/>
      <c r="C210" s="2"/>
      <c r="D210" s="2"/>
      <c r="E210" s="2"/>
      <c r="F210" s="2"/>
      <c r="G210" s="2"/>
      <c r="H210" s="22"/>
      <c r="I210" s="22"/>
      <c r="J210" s="22"/>
      <c r="K210" s="22"/>
      <c r="L210" s="2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28"/>
      <c r="B211" s="2"/>
      <c r="C211" s="2"/>
      <c r="D211" s="2"/>
      <c r="E211" s="2"/>
      <c r="F211" s="2"/>
      <c r="G211" s="2"/>
      <c r="H211" s="22"/>
      <c r="I211" s="22"/>
      <c r="J211" s="22"/>
      <c r="K211" s="22"/>
      <c r="L211" s="2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28"/>
      <c r="B212" s="2"/>
      <c r="C212" s="2"/>
      <c r="D212" s="2"/>
      <c r="E212" s="2"/>
      <c r="F212" s="2"/>
      <c r="G212" s="2"/>
      <c r="H212" s="22"/>
      <c r="I212" s="22"/>
      <c r="J212" s="22"/>
      <c r="K212" s="22"/>
      <c r="L212" s="2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28"/>
      <c r="B213" s="2"/>
      <c r="C213" s="2"/>
      <c r="D213" s="2"/>
      <c r="E213" s="2"/>
      <c r="F213" s="2"/>
      <c r="G213" s="2"/>
      <c r="H213" s="22"/>
      <c r="I213" s="22"/>
      <c r="J213" s="22"/>
      <c r="K213" s="22"/>
      <c r="L213" s="2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28"/>
      <c r="B214" s="2"/>
      <c r="C214" s="2"/>
      <c r="D214" s="2"/>
      <c r="E214" s="2"/>
      <c r="F214" s="2"/>
      <c r="G214" s="2"/>
      <c r="H214" s="22"/>
      <c r="I214" s="22"/>
      <c r="J214" s="22"/>
      <c r="K214" s="22"/>
      <c r="L214" s="2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28"/>
      <c r="B215" s="2"/>
      <c r="C215" s="2"/>
      <c r="D215" s="2"/>
      <c r="E215" s="2"/>
      <c r="F215" s="2"/>
      <c r="G215" s="2"/>
      <c r="H215" s="22"/>
      <c r="I215" s="22"/>
      <c r="J215" s="22"/>
      <c r="K215" s="22"/>
      <c r="L215" s="2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28"/>
      <c r="B216" s="2"/>
      <c r="C216" s="2"/>
      <c r="D216" s="2"/>
      <c r="E216" s="2"/>
      <c r="F216" s="2"/>
      <c r="G216" s="2"/>
      <c r="H216" s="22"/>
      <c r="I216" s="22"/>
      <c r="J216" s="22"/>
      <c r="K216" s="22"/>
      <c r="L216" s="2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28"/>
      <c r="B217" s="2"/>
      <c r="C217" s="2"/>
      <c r="D217" s="2"/>
      <c r="E217" s="2"/>
      <c r="F217" s="2"/>
      <c r="G217" s="2"/>
      <c r="H217" s="22"/>
      <c r="I217" s="22"/>
      <c r="J217" s="22"/>
      <c r="K217" s="22"/>
      <c r="L217" s="2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28"/>
      <c r="B218" s="2"/>
      <c r="C218" s="2"/>
      <c r="D218" s="2"/>
      <c r="E218" s="2"/>
      <c r="F218" s="2"/>
      <c r="G218" s="2"/>
      <c r="H218" s="22"/>
      <c r="I218" s="22"/>
      <c r="J218" s="22"/>
      <c r="K218" s="22"/>
      <c r="L218" s="2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28"/>
      <c r="B219" s="2"/>
      <c r="C219" s="2"/>
      <c r="D219" s="2"/>
      <c r="E219" s="2"/>
      <c r="F219" s="2"/>
      <c r="G219" s="2"/>
      <c r="H219" s="22"/>
      <c r="I219" s="22"/>
      <c r="J219" s="22"/>
      <c r="K219" s="22"/>
      <c r="L219" s="2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28"/>
      <c r="B220" s="2"/>
      <c r="C220" s="2"/>
      <c r="D220" s="2"/>
      <c r="E220" s="2"/>
      <c r="F220" s="2"/>
      <c r="G220" s="2"/>
      <c r="H220" s="22"/>
      <c r="I220" s="22"/>
      <c r="J220" s="22"/>
      <c r="K220" s="22"/>
      <c r="L220" s="2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28"/>
      <c r="B221" s="2"/>
      <c r="C221" s="2"/>
      <c r="D221" s="2"/>
      <c r="E221" s="2"/>
      <c r="F221" s="2"/>
      <c r="G221" s="2"/>
      <c r="H221" s="22"/>
      <c r="I221" s="22"/>
      <c r="J221" s="22"/>
      <c r="K221" s="22"/>
      <c r="L221" s="2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28"/>
      <c r="B222" s="2"/>
      <c r="C222" s="2"/>
      <c r="D222" s="2"/>
      <c r="E222" s="2"/>
      <c r="F222" s="2"/>
      <c r="G222" s="2"/>
      <c r="H222" s="22"/>
      <c r="I222" s="22"/>
      <c r="J222" s="22"/>
      <c r="K222" s="22"/>
      <c r="L222" s="2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28"/>
      <c r="B223" s="2"/>
      <c r="C223" s="2"/>
      <c r="D223" s="2"/>
      <c r="E223" s="2"/>
      <c r="F223" s="2"/>
      <c r="G223" s="2"/>
      <c r="H223" s="22"/>
      <c r="I223" s="22"/>
      <c r="J223" s="22"/>
      <c r="K223" s="22"/>
      <c r="L223" s="2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28"/>
      <c r="B224" s="2"/>
      <c r="C224" s="2"/>
      <c r="D224" s="2"/>
      <c r="E224" s="2"/>
      <c r="F224" s="2"/>
      <c r="G224" s="2"/>
      <c r="H224" s="22"/>
      <c r="I224" s="22"/>
      <c r="J224" s="22"/>
      <c r="K224" s="22"/>
      <c r="L224" s="2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28"/>
      <c r="B225" s="2"/>
      <c r="C225" s="2"/>
      <c r="D225" s="2"/>
      <c r="E225" s="2"/>
      <c r="F225" s="2"/>
      <c r="G225" s="2"/>
      <c r="H225" s="22"/>
      <c r="I225" s="22"/>
      <c r="J225" s="22"/>
      <c r="K225" s="22"/>
      <c r="L225" s="2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28"/>
      <c r="B226" s="2"/>
      <c r="C226" s="2"/>
      <c r="D226" s="2"/>
      <c r="E226" s="2"/>
      <c r="F226" s="2"/>
      <c r="G226" s="2"/>
      <c r="H226" s="22"/>
      <c r="I226" s="22"/>
      <c r="J226" s="22"/>
      <c r="K226" s="22"/>
      <c r="L226" s="2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28"/>
      <c r="B227" s="2"/>
      <c r="C227" s="2"/>
      <c r="D227" s="2"/>
      <c r="E227" s="2"/>
      <c r="F227" s="2"/>
      <c r="G227" s="2"/>
      <c r="H227" s="22"/>
      <c r="I227" s="22"/>
      <c r="J227" s="22"/>
      <c r="K227" s="22"/>
      <c r="L227" s="2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28"/>
      <c r="B228" s="2"/>
      <c r="C228" s="2"/>
      <c r="D228" s="2"/>
      <c r="E228" s="2"/>
      <c r="F228" s="2"/>
      <c r="G228" s="2"/>
      <c r="H228" s="22"/>
      <c r="I228" s="22"/>
      <c r="J228" s="22"/>
      <c r="K228" s="22"/>
      <c r="L228" s="2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28"/>
      <c r="B229" s="2"/>
      <c r="C229" s="2"/>
      <c r="D229" s="2"/>
      <c r="E229" s="2"/>
      <c r="F229" s="2"/>
      <c r="G229" s="2"/>
      <c r="H229" s="22"/>
      <c r="I229" s="22"/>
      <c r="J229" s="22"/>
      <c r="K229" s="22"/>
      <c r="L229" s="2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28"/>
      <c r="B230" s="2"/>
      <c r="C230" s="2"/>
      <c r="D230" s="2"/>
      <c r="E230" s="2"/>
      <c r="F230" s="2"/>
      <c r="G230" s="2"/>
      <c r="H230" s="22"/>
      <c r="I230" s="22"/>
      <c r="J230" s="22"/>
      <c r="K230" s="22"/>
      <c r="L230" s="2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28"/>
      <c r="B231" s="2"/>
      <c r="C231" s="2"/>
      <c r="D231" s="2"/>
      <c r="E231" s="2"/>
      <c r="F231" s="2"/>
      <c r="G231" s="2"/>
      <c r="H231" s="22"/>
      <c r="I231" s="22"/>
      <c r="J231" s="22"/>
      <c r="K231" s="22"/>
      <c r="L231" s="2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28"/>
      <c r="B232" s="2"/>
      <c r="C232" s="2"/>
      <c r="D232" s="2"/>
      <c r="E232" s="2"/>
      <c r="F232" s="2"/>
      <c r="G232" s="2"/>
      <c r="H232" s="22"/>
      <c r="I232" s="22"/>
      <c r="J232" s="22"/>
      <c r="K232" s="22"/>
      <c r="L232" s="2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28"/>
      <c r="B233" s="2"/>
      <c r="C233" s="2"/>
      <c r="D233" s="2"/>
      <c r="E233" s="2"/>
      <c r="F233" s="2"/>
      <c r="G233" s="2"/>
      <c r="H233" s="22"/>
      <c r="I233" s="22"/>
      <c r="J233" s="22"/>
      <c r="K233" s="22"/>
      <c r="L233" s="2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28"/>
      <c r="B234" s="2"/>
      <c r="C234" s="2"/>
      <c r="D234" s="2"/>
      <c r="E234" s="2"/>
      <c r="F234" s="2"/>
      <c r="G234" s="2"/>
      <c r="H234" s="22"/>
      <c r="I234" s="22"/>
      <c r="J234" s="22"/>
      <c r="K234" s="22"/>
      <c r="L234" s="2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28"/>
      <c r="B235" s="2"/>
      <c r="C235" s="2"/>
      <c r="D235" s="2"/>
      <c r="E235" s="2"/>
      <c r="F235" s="2"/>
      <c r="G235" s="2"/>
      <c r="H235" s="22"/>
      <c r="I235" s="22"/>
      <c r="J235" s="22"/>
      <c r="K235" s="22"/>
      <c r="L235" s="2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28"/>
      <c r="B236" s="2"/>
      <c r="C236" s="2"/>
      <c r="D236" s="2"/>
      <c r="E236" s="2"/>
      <c r="F236" s="2"/>
      <c r="G236" s="2"/>
      <c r="H236" s="22"/>
      <c r="I236" s="22"/>
      <c r="J236" s="22"/>
      <c r="K236" s="22"/>
      <c r="L236" s="2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28"/>
      <c r="B237" s="2"/>
      <c r="C237" s="2"/>
      <c r="D237" s="2"/>
      <c r="E237" s="2"/>
      <c r="F237" s="2"/>
      <c r="G237" s="2"/>
      <c r="H237" s="22"/>
      <c r="I237" s="22"/>
      <c r="J237" s="22"/>
      <c r="K237" s="22"/>
      <c r="L237" s="2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28"/>
      <c r="B238" s="2"/>
      <c r="C238" s="2"/>
      <c r="D238" s="2"/>
      <c r="E238" s="2"/>
      <c r="F238" s="2"/>
      <c r="G238" s="2"/>
      <c r="H238" s="22"/>
      <c r="I238" s="22"/>
      <c r="J238" s="22"/>
      <c r="K238" s="22"/>
      <c r="L238" s="2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28"/>
      <c r="B239" s="2"/>
      <c r="C239" s="2"/>
      <c r="D239" s="2"/>
      <c r="E239" s="2"/>
      <c r="F239" s="2"/>
      <c r="G239" s="2"/>
      <c r="H239" s="22"/>
      <c r="I239" s="22"/>
      <c r="J239" s="22"/>
      <c r="K239" s="22"/>
      <c r="L239" s="2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28"/>
      <c r="B240" s="2"/>
      <c r="C240" s="2"/>
      <c r="D240" s="2"/>
      <c r="E240" s="2"/>
      <c r="F240" s="2"/>
      <c r="G240" s="2"/>
      <c r="H240" s="22"/>
      <c r="I240" s="22"/>
      <c r="J240" s="22"/>
      <c r="K240" s="22"/>
      <c r="L240" s="2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28"/>
      <c r="B241" s="2"/>
      <c r="C241" s="2"/>
      <c r="D241" s="2"/>
      <c r="E241" s="2"/>
      <c r="F241" s="2"/>
      <c r="G241" s="2"/>
      <c r="H241" s="22"/>
      <c r="I241" s="22"/>
      <c r="J241" s="22"/>
      <c r="K241" s="22"/>
      <c r="L241" s="2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28"/>
      <c r="B242" s="2"/>
      <c r="C242" s="2"/>
      <c r="D242" s="2"/>
      <c r="E242" s="2"/>
      <c r="F242" s="2"/>
      <c r="G242" s="2"/>
      <c r="H242" s="22"/>
      <c r="I242" s="22"/>
      <c r="J242" s="22"/>
      <c r="K242" s="22"/>
      <c r="L242" s="2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28"/>
      <c r="B243" s="2"/>
      <c r="C243" s="2"/>
      <c r="D243" s="2"/>
      <c r="E243" s="2"/>
      <c r="F243" s="2"/>
      <c r="G243" s="2"/>
      <c r="H243" s="22"/>
      <c r="I243" s="22"/>
      <c r="J243" s="22"/>
      <c r="K243" s="22"/>
      <c r="L243" s="2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28"/>
      <c r="B244" s="2"/>
      <c r="C244" s="2"/>
      <c r="D244" s="2"/>
      <c r="E244" s="2"/>
      <c r="F244" s="2"/>
      <c r="G244" s="2"/>
      <c r="H244" s="22"/>
      <c r="I244" s="22"/>
      <c r="J244" s="22"/>
      <c r="K244" s="22"/>
      <c r="L244" s="2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28"/>
      <c r="B245" s="2"/>
      <c r="C245" s="2"/>
      <c r="D245" s="2"/>
      <c r="E245" s="2"/>
      <c r="F245" s="2"/>
      <c r="G245" s="2"/>
      <c r="H245" s="22"/>
      <c r="I245" s="22"/>
      <c r="J245" s="22"/>
      <c r="K245" s="22"/>
      <c r="L245" s="2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28"/>
      <c r="B246" s="2"/>
      <c r="C246" s="2"/>
      <c r="D246" s="2"/>
      <c r="E246" s="2"/>
      <c r="F246" s="2"/>
      <c r="G246" s="2"/>
      <c r="H246" s="22"/>
      <c r="I246" s="22"/>
      <c r="J246" s="22"/>
      <c r="K246" s="22"/>
      <c r="L246" s="2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28"/>
      <c r="B247" s="2"/>
      <c r="C247" s="2"/>
      <c r="D247" s="2"/>
      <c r="E247" s="2"/>
      <c r="F247" s="2"/>
      <c r="G247" s="2"/>
      <c r="H247" s="22"/>
      <c r="I247" s="22"/>
      <c r="J247" s="22"/>
      <c r="K247" s="22"/>
      <c r="L247" s="2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28"/>
      <c r="B248" s="2"/>
      <c r="C248" s="2"/>
      <c r="D248" s="2"/>
      <c r="E248" s="2"/>
      <c r="F248" s="2"/>
      <c r="G248" s="2"/>
      <c r="H248" s="22"/>
      <c r="I248" s="22"/>
      <c r="J248" s="22"/>
      <c r="K248" s="22"/>
      <c r="L248" s="2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28"/>
      <c r="B249" s="2"/>
      <c r="C249" s="2"/>
      <c r="D249" s="2"/>
      <c r="E249" s="2"/>
      <c r="F249" s="2"/>
      <c r="G249" s="2"/>
      <c r="H249" s="22"/>
      <c r="I249" s="22"/>
      <c r="J249" s="22"/>
      <c r="K249" s="22"/>
      <c r="L249" s="2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28"/>
      <c r="B250" s="2"/>
      <c r="C250" s="2"/>
      <c r="D250" s="2"/>
      <c r="E250" s="2"/>
      <c r="F250" s="2"/>
      <c r="G250" s="2"/>
      <c r="H250" s="22"/>
      <c r="I250" s="22"/>
      <c r="J250" s="22"/>
      <c r="K250" s="22"/>
      <c r="L250" s="2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28"/>
      <c r="B251" s="2"/>
      <c r="C251" s="2"/>
      <c r="D251" s="2"/>
      <c r="E251" s="2"/>
      <c r="F251" s="2"/>
      <c r="G251" s="2"/>
      <c r="H251" s="22"/>
      <c r="I251" s="22"/>
      <c r="J251" s="22"/>
      <c r="K251" s="22"/>
      <c r="L251" s="2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28"/>
      <c r="B252" s="2"/>
      <c r="C252" s="2"/>
      <c r="D252" s="2"/>
      <c r="E252" s="2"/>
      <c r="F252" s="2"/>
      <c r="G252" s="2"/>
      <c r="H252" s="22"/>
      <c r="I252" s="22"/>
      <c r="J252" s="22"/>
      <c r="K252" s="22"/>
      <c r="L252" s="2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28"/>
      <c r="B253" s="2"/>
      <c r="C253" s="2"/>
      <c r="D253" s="2"/>
      <c r="E253" s="2"/>
      <c r="F253" s="2"/>
      <c r="G253" s="2"/>
      <c r="H253" s="22"/>
      <c r="I253" s="22"/>
      <c r="J253" s="22"/>
      <c r="K253" s="22"/>
      <c r="L253" s="2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28"/>
      <c r="B254" s="2"/>
      <c r="C254" s="2"/>
      <c r="D254" s="2"/>
      <c r="E254" s="2"/>
      <c r="F254" s="2"/>
      <c r="G254" s="2"/>
      <c r="H254" s="22"/>
      <c r="I254" s="22"/>
      <c r="J254" s="22"/>
      <c r="K254" s="22"/>
      <c r="L254" s="2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28"/>
      <c r="B255" s="2"/>
      <c r="C255" s="2"/>
      <c r="D255" s="2"/>
      <c r="E255" s="2"/>
      <c r="F255" s="2"/>
      <c r="G255" s="2"/>
      <c r="H255" s="22"/>
      <c r="I255" s="22"/>
      <c r="J255" s="22"/>
      <c r="K255" s="22"/>
      <c r="L255" s="2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28"/>
      <c r="B256" s="2"/>
      <c r="C256" s="2"/>
      <c r="D256" s="2"/>
      <c r="E256" s="2"/>
      <c r="F256" s="2"/>
      <c r="G256" s="2"/>
      <c r="H256" s="22"/>
      <c r="I256" s="22"/>
      <c r="J256" s="22"/>
      <c r="K256" s="22"/>
      <c r="L256" s="2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28"/>
      <c r="B257" s="2"/>
      <c r="C257" s="2"/>
      <c r="D257" s="2"/>
      <c r="E257" s="2"/>
      <c r="F257" s="2"/>
      <c r="G257" s="2"/>
      <c r="H257" s="22"/>
      <c r="I257" s="22"/>
      <c r="J257" s="22"/>
      <c r="K257" s="22"/>
      <c r="L257" s="2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28"/>
      <c r="B258" s="2"/>
      <c r="C258" s="2"/>
      <c r="D258" s="2"/>
      <c r="E258" s="2"/>
      <c r="F258" s="2"/>
      <c r="G258" s="2"/>
      <c r="H258" s="22"/>
      <c r="I258" s="22"/>
      <c r="J258" s="22"/>
      <c r="K258" s="22"/>
      <c r="L258" s="2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28"/>
      <c r="B259" s="2"/>
      <c r="C259" s="2"/>
      <c r="D259" s="2"/>
      <c r="E259" s="2"/>
      <c r="F259" s="2"/>
      <c r="G259" s="2"/>
      <c r="H259" s="22"/>
      <c r="I259" s="22"/>
      <c r="J259" s="22"/>
      <c r="K259" s="22"/>
      <c r="L259" s="2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28"/>
      <c r="B260" s="2"/>
      <c r="C260" s="2"/>
      <c r="D260" s="2"/>
      <c r="E260" s="2"/>
      <c r="F260" s="2"/>
      <c r="G260" s="2"/>
      <c r="H260" s="22"/>
      <c r="I260" s="22"/>
      <c r="J260" s="22"/>
      <c r="K260" s="22"/>
      <c r="L260" s="2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28"/>
      <c r="B261" s="2"/>
      <c r="C261" s="2"/>
      <c r="D261" s="2"/>
      <c r="E261" s="2"/>
      <c r="F261" s="2"/>
      <c r="G261" s="2"/>
      <c r="H261" s="22"/>
      <c r="I261" s="22"/>
      <c r="J261" s="22"/>
      <c r="K261" s="22"/>
      <c r="L261" s="2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28"/>
      <c r="B262" s="2"/>
      <c r="C262" s="2"/>
      <c r="D262" s="2"/>
      <c r="E262" s="2"/>
      <c r="F262" s="2"/>
      <c r="G262" s="2"/>
      <c r="H262" s="22"/>
      <c r="I262" s="22"/>
      <c r="J262" s="22"/>
      <c r="K262" s="22"/>
      <c r="L262" s="2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28"/>
      <c r="B263" s="2"/>
      <c r="C263" s="2"/>
      <c r="D263" s="2"/>
      <c r="E263" s="2"/>
      <c r="F263" s="2"/>
      <c r="G263" s="2"/>
      <c r="H263" s="22"/>
      <c r="I263" s="22"/>
      <c r="J263" s="22"/>
      <c r="K263" s="22"/>
      <c r="L263" s="2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28"/>
      <c r="B264" s="2"/>
      <c r="C264" s="2"/>
      <c r="D264" s="2"/>
      <c r="E264" s="2"/>
      <c r="F264" s="2"/>
      <c r="G264" s="2"/>
      <c r="H264" s="22"/>
      <c r="I264" s="22"/>
      <c r="J264" s="22"/>
      <c r="K264" s="22"/>
      <c r="L264" s="2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28"/>
      <c r="B265" s="2"/>
      <c r="C265" s="2"/>
      <c r="D265" s="2"/>
      <c r="E265" s="2"/>
      <c r="F265" s="2"/>
      <c r="G265" s="2"/>
      <c r="H265" s="22"/>
      <c r="I265" s="22"/>
      <c r="J265" s="22"/>
      <c r="K265" s="22"/>
      <c r="L265" s="2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28"/>
      <c r="B266" s="2"/>
      <c r="C266" s="2"/>
      <c r="D266" s="2"/>
      <c r="E266" s="2"/>
      <c r="F266" s="2"/>
      <c r="G266" s="2"/>
      <c r="H266" s="22"/>
      <c r="I266" s="22"/>
      <c r="J266" s="22"/>
      <c r="K266" s="22"/>
      <c r="L266" s="2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28"/>
      <c r="B267" s="2"/>
      <c r="C267" s="2"/>
      <c r="D267" s="2"/>
      <c r="E267" s="2"/>
      <c r="F267" s="2"/>
      <c r="G267" s="2"/>
      <c r="H267" s="22"/>
      <c r="I267" s="22"/>
      <c r="J267" s="22"/>
      <c r="K267" s="22"/>
      <c r="L267" s="2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28"/>
      <c r="B268" s="2"/>
      <c r="C268" s="2"/>
      <c r="D268" s="2"/>
      <c r="E268" s="2"/>
      <c r="F268" s="2"/>
      <c r="G268" s="2"/>
      <c r="H268" s="22"/>
      <c r="I268" s="22"/>
      <c r="J268" s="22"/>
      <c r="K268" s="22"/>
      <c r="L268" s="2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28"/>
      <c r="B269" s="2"/>
      <c r="C269" s="2"/>
      <c r="D269" s="2"/>
      <c r="E269" s="2"/>
      <c r="F269" s="2"/>
      <c r="G269" s="2"/>
      <c r="H269" s="22"/>
      <c r="I269" s="22"/>
      <c r="J269" s="22"/>
      <c r="K269" s="22"/>
      <c r="L269" s="2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28"/>
      <c r="B270" s="2"/>
      <c r="C270" s="2"/>
      <c r="D270" s="2"/>
      <c r="E270" s="2"/>
      <c r="F270" s="2"/>
      <c r="G270" s="2"/>
      <c r="H270" s="22"/>
      <c r="I270" s="22"/>
      <c r="J270" s="22"/>
      <c r="K270" s="22"/>
      <c r="L270" s="2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28"/>
      <c r="B271" s="2"/>
      <c r="C271" s="2"/>
      <c r="D271" s="2"/>
      <c r="E271" s="2"/>
      <c r="F271" s="2"/>
      <c r="G271" s="2"/>
      <c r="H271" s="22"/>
      <c r="I271" s="22"/>
      <c r="J271" s="22"/>
      <c r="K271" s="22"/>
      <c r="L271" s="2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28"/>
      <c r="B272" s="2"/>
      <c r="C272" s="2"/>
      <c r="D272" s="2"/>
      <c r="E272" s="2"/>
      <c r="F272" s="2"/>
      <c r="G272" s="2"/>
      <c r="H272" s="22"/>
      <c r="I272" s="22"/>
      <c r="J272" s="22"/>
      <c r="K272" s="22"/>
      <c r="L272" s="2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28"/>
      <c r="B273" s="2"/>
      <c r="C273" s="2"/>
      <c r="D273" s="2"/>
      <c r="E273" s="2"/>
      <c r="F273" s="2"/>
      <c r="G273" s="2"/>
      <c r="H273" s="22"/>
      <c r="I273" s="22"/>
      <c r="J273" s="22"/>
      <c r="K273" s="22"/>
      <c r="L273" s="2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28"/>
      <c r="B274" s="2"/>
      <c r="C274" s="2"/>
      <c r="D274" s="2"/>
      <c r="E274" s="2"/>
      <c r="F274" s="2"/>
      <c r="G274" s="2"/>
      <c r="H274" s="22"/>
      <c r="I274" s="22"/>
      <c r="J274" s="22"/>
      <c r="K274" s="22"/>
      <c r="L274" s="2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28"/>
      <c r="B275" s="2"/>
      <c r="C275" s="2"/>
      <c r="D275" s="2"/>
      <c r="E275" s="2"/>
      <c r="F275" s="2"/>
      <c r="G275" s="2"/>
      <c r="H275" s="22"/>
      <c r="I275" s="22"/>
      <c r="J275" s="22"/>
      <c r="K275" s="22"/>
      <c r="L275" s="2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28"/>
      <c r="B276" s="2"/>
      <c r="C276" s="2"/>
      <c r="D276" s="2"/>
      <c r="E276" s="2"/>
      <c r="F276" s="2"/>
      <c r="G276" s="2"/>
      <c r="H276" s="22"/>
      <c r="I276" s="22"/>
      <c r="J276" s="22"/>
      <c r="K276" s="22"/>
      <c r="L276" s="2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28"/>
      <c r="B277" s="2"/>
      <c r="C277" s="2"/>
      <c r="D277" s="2"/>
      <c r="E277" s="2"/>
      <c r="F277" s="2"/>
      <c r="G277" s="2"/>
      <c r="H277" s="22"/>
      <c r="I277" s="22"/>
      <c r="J277" s="22"/>
      <c r="K277" s="22"/>
      <c r="L277" s="2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28"/>
      <c r="B278" s="2"/>
      <c r="C278" s="2"/>
      <c r="D278" s="2"/>
      <c r="E278" s="2"/>
      <c r="F278" s="2"/>
      <c r="G278" s="2"/>
      <c r="H278" s="22"/>
      <c r="I278" s="22"/>
      <c r="J278" s="22"/>
      <c r="K278" s="22"/>
      <c r="L278" s="2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28"/>
      <c r="B279" s="2"/>
      <c r="C279" s="2"/>
      <c r="D279" s="2"/>
      <c r="E279" s="2"/>
      <c r="F279" s="2"/>
      <c r="G279" s="2"/>
      <c r="H279" s="22"/>
      <c r="I279" s="22"/>
      <c r="J279" s="22"/>
      <c r="K279" s="22"/>
      <c r="L279" s="2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28"/>
      <c r="B280" s="2"/>
      <c r="C280" s="2"/>
      <c r="D280" s="2"/>
      <c r="E280" s="2"/>
      <c r="F280" s="2"/>
      <c r="G280" s="2"/>
      <c r="H280" s="22"/>
      <c r="I280" s="22"/>
      <c r="J280" s="22"/>
      <c r="K280" s="22"/>
      <c r="L280" s="2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28"/>
      <c r="B281" s="2"/>
      <c r="C281" s="2"/>
      <c r="D281" s="2"/>
      <c r="E281" s="2"/>
      <c r="F281" s="2"/>
      <c r="G281" s="2"/>
      <c r="H281" s="22"/>
      <c r="I281" s="22"/>
      <c r="J281" s="22"/>
      <c r="K281" s="22"/>
      <c r="L281" s="2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28"/>
      <c r="B282" s="2"/>
      <c r="C282" s="2"/>
      <c r="D282" s="2"/>
      <c r="E282" s="2"/>
      <c r="F282" s="2"/>
      <c r="G282" s="2"/>
      <c r="H282" s="22"/>
      <c r="I282" s="22"/>
      <c r="J282" s="22"/>
      <c r="K282" s="22"/>
      <c r="L282" s="2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28"/>
      <c r="B283" s="2"/>
      <c r="C283" s="2"/>
      <c r="D283" s="2"/>
      <c r="E283" s="2"/>
      <c r="F283" s="2"/>
      <c r="G283" s="2"/>
      <c r="H283" s="22"/>
      <c r="I283" s="22"/>
      <c r="J283" s="22"/>
      <c r="K283" s="22"/>
      <c r="L283" s="2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28"/>
      <c r="B284" s="2"/>
      <c r="C284" s="2"/>
      <c r="D284" s="2"/>
      <c r="E284" s="2"/>
      <c r="F284" s="2"/>
      <c r="G284" s="2"/>
      <c r="H284" s="22"/>
      <c r="I284" s="22"/>
      <c r="J284" s="22"/>
      <c r="K284" s="22"/>
      <c r="L284" s="2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28"/>
      <c r="B285" s="2"/>
      <c r="C285" s="2"/>
      <c r="D285" s="2"/>
      <c r="E285" s="2"/>
      <c r="F285" s="2"/>
      <c r="G285" s="2"/>
      <c r="H285" s="22"/>
      <c r="I285" s="22"/>
      <c r="J285" s="22"/>
      <c r="K285" s="22"/>
      <c r="L285" s="2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28"/>
      <c r="B286" s="2"/>
      <c r="C286" s="2"/>
      <c r="D286" s="2"/>
      <c r="E286" s="2"/>
      <c r="F286" s="2"/>
      <c r="G286" s="2"/>
      <c r="H286" s="22"/>
      <c r="I286" s="22"/>
      <c r="J286" s="22"/>
      <c r="K286" s="22"/>
      <c r="L286" s="2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28"/>
      <c r="B287" s="2"/>
      <c r="C287" s="2"/>
      <c r="D287" s="2"/>
      <c r="E287" s="2"/>
      <c r="F287" s="2"/>
      <c r="G287" s="2"/>
      <c r="H287" s="22"/>
      <c r="I287" s="22"/>
      <c r="J287" s="22"/>
      <c r="K287" s="22"/>
      <c r="L287" s="2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28"/>
      <c r="B288" s="2"/>
      <c r="C288" s="2"/>
      <c r="D288" s="2"/>
      <c r="E288" s="2"/>
      <c r="F288" s="2"/>
      <c r="G288" s="2"/>
      <c r="H288" s="22"/>
      <c r="I288" s="22"/>
      <c r="J288" s="22"/>
      <c r="K288" s="22"/>
      <c r="L288" s="2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28"/>
      <c r="B289" s="2"/>
      <c r="C289" s="2"/>
      <c r="D289" s="2"/>
      <c r="E289" s="2"/>
      <c r="F289" s="2"/>
      <c r="G289" s="2"/>
      <c r="H289" s="22"/>
      <c r="I289" s="22"/>
      <c r="J289" s="22"/>
      <c r="K289" s="22"/>
      <c r="L289" s="2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28"/>
      <c r="B290" s="2"/>
      <c r="C290" s="2"/>
      <c r="D290" s="2"/>
      <c r="E290" s="2"/>
      <c r="F290" s="2"/>
      <c r="G290" s="2"/>
      <c r="H290" s="22"/>
      <c r="I290" s="22"/>
      <c r="J290" s="22"/>
      <c r="K290" s="22"/>
      <c r="L290" s="2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28"/>
      <c r="B291" s="2"/>
      <c r="C291" s="2"/>
      <c r="D291" s="2"/>
      <c r="E291" s="2"/>
      <c r="F291" s="2"/>
      <c r="G291" s="2"/>
      <c r="H291" s="22"/>
      <c r="I291" s="22"/>
      <c r="J291" s="22"/>
      <c r="K291" s="22"/>
      <c r="L291" s="2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28"/>
      <c r="B292" s="2"/>
      <c r="C292" s="2"/>
      <c r="D292" s="2"/>
      <c r="E292" s="2"/>
      <c r="F292" s="2"/>
      <c r="G292" s="2"/>
      <c r="H292" s="22"/>
      <c r="I292" s="22"/>
      <c r="J292" s="22"/>
      <c r="K292" s="22"/>
      <c r="L292" s="2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28"/>
      <c r="B293" s="2"/>
      <c r="C293" s="2"/>
      <c r="D293" s="2"/>
      <c r="E293" s="2"/>
      <c r="F293" s="2"/>
      <c r="G293" s="2"/>
      <c r="H293" s="22"/>
      <c r="I293" s="22"/>
      <c r="J293" s="22"/>
      <c r="K293" s="22"/>
      <c r="L293" s="2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28"/>
      <c r="B294" s="2"/>
      <c r="C294" s="2"/>
      <c r="D294" s="2"/>
      <c r="E294" s="2"/>
      <c r="F294" s="2"/>
      <c r="G294" s="2"/>
      <c r="H294" s="22"/>
      <c r="I294" s="22"/>
      <c r="J294" s="22"/>
      <c r="K294" s="22"/>
      <c r="L294" s="2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28"/>
      <c r="B295" s="2"/>
      <c r="C295" s="2"/>
      <c r="D295" s="2"/>
      <c r="E295" s="2"/>
      <c r="F295" s="2"/>
      <c r="G295" s="2"/>
      <c r="H295" s="22"/>
      <c r="I295" s="22"/>
      <c r="J295" s="22"/>
      <c r="K295" s="22"/>
      <c r="L295" s="2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28"/>
      <c r="B296" s="2"/>
      <c r="C296" s="2"/>
      <c r="D296" s="2"/>
      <c r="E296" s="2"/>
      <c r="F296" s="2"/>
      <c r="G296" s="2"/>
      <c r="H296" s="22"/>
      <c r="I296" s="22"/>
      <c r="J296" s="22"/>
      <c r="K296" s="22"/>
      <c r="L296" s="2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28"/>
      <c r="B297" s="2"/>
      <c r="C297" s="2"/>
      <c r="D297" s="2"/>
      <c r="E297" s="2"/>
      <c r="F297" s="2"/>
      <c r="G297" s="2"/>
      <c r="H297" s="22"/>
      <c r="I297" s="22"/>
      <c r="J297" s="22"/>
      <c r="K297" s="22"/>
      <c r="L297" s="2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28"/>
      <c r="B298" s="2"/>
      <c r="C298" s="2"/>
      <c r="D298" s="2"/>
      <c r="E298" s="2"/>
      <c r="F298" s="2"/>
      <c r="G298" s="2"/>
      <c r="H298" s="22"/>
      <c r="I298" s="22"/>
      <c r="J298" s="22"/>
      <c r="K298" s="22"/>
      <c r="L298" s="2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28"/>
      <c r="B299" s="2"/>
      <c r="C299" s="2"/>
      <c r="D299" s="2"/>
      <c r="E299" s="2"/>
      <c r="F299" s="2"/>
      <c r="G299" s="2"/>
      <c r="H299" s="22"/>
      <c r="I299" s="22"/>
      <c r="J299" s="22"/>
      <c r="K299" s="22"/>
      <c r="L299" s="2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28"/>
      <c r="B300" s="2"/>
      <c r="C300" s="2"/>
      <c r="D300" s="2"/>
      <c r="E300" s="2"/>
      <c r="F300" s="2"/>
      <c r="G300" s="2"/>
      <c r="H300" s="22"/>
      <c r="I300" s="22"/>
      <c r="J300" s="22"/>
      <c r="K300" s="22"/>
      <c r="L300" s="2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28"/>
      <c r="B301" s="2"/>
      <c r="C301" s="2"/>
      <c r="D301" s="2"/>
      <c r="E301" s="2"/>
      <c r="F301" s="2"/>
      <c r="G301" s="2"/>
      <c r="H301" s="22"/>
      <c r="I301" s="22"/>
      <c r="J301" s="22"/>
      <c r="K301" s="22"/>
      <c r="L301" s="2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28"/>
      <c r="B302" s="2"/>
      <c r="C302" s="2"/>
      <c r="D302" s="2"/>
      <c r="E302" s="2"/>
      <c r="F302" s="2"/>
      <c r="G302" s="2"/>
      <c r="H302" s="22"/>
      <c r="I302" s="22"/>
      <c r="J302" s="22"/>
      <c r="K302" s="22"/>
      <c r="L302" s="2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28"/>
      <c r="B303" s="2"/>
      <c r="C303" s="2"/>
      <c r="D303" s="2"/>
      <c r="E303" s="2"/>
      <c r="F303" s="2"/>
      <c r="G303" s="2"/>
      <c r="H303" s="22"/>
      <c r="I303" s="22"/>
      <c r="J303" s="22"/>
      <c r="K303" s="22"/>
      <c r="L303" s="2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28"/>
      <c r="B304" s="2"/>
      <c r="C304" s="2"/>
      <c r="D304" s="2"/>
      <c r="E304" s="2"/>
      <c r="F304" s="2"/>
      <c r="G304" s="2"/>
      <c r="H304" s="22"/>
      <c r="I304" s="22"/>
      <c r="J304" s="22"/>
      <c r="K304" s="22"/>
      <c r="L304" s="2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28"/>
      <c r="B305" s="2"/>
      <c r="C305" s="2"/>
      <c r="D305" s="2"/>
      <c r="E305" s="2"/>
      <c r="F305" s="2"/>
      <c r="G305" s="2"/>
      <c r="H305" s="22"/>
      <c r="I305" s="22"/>
      <c r="J305" s="22"/>
      <c r="K305" s="22"/>
      <c r="L305" s="2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28"/>
      <c r="B306" s="2"/>
      <c r="C306" s="2"/>
      <c r="D306" s="2"/>
      <c r="E306" s="2"/>
      <c r="F306" s="2"/>
      <c r="G306" s="2"/>
      <c r="H306" s="22"/>
      <c r="I306" s="22"/>
      <c r="J306" s="22"/>
      <c r="K306" s="22"/>
      <c r="L306" s="2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28"/>
      <c r="B307" s="2"/>
      <c r="C307" s="2"/>
      <c r="D307" s="2"/>
      <c r="E307" s="2"/>
      <c r="F307" s="2"/>
      <c r="G307" s="2"/>
      <c r="H307" s="22"/>
      <c r="I307" s="22"/>
      <c r="J307" s="22"/>
      <c r="K307" s="22"/>
      <c r="L307" s="2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28"/>
      <c r="B308" s="2"/>
      <c r="C308" s="2"/>
      <c r="D308" s="2"/>
      <c r="E308" s="2"/>
      <c r="F308" s="2"/>
      <c r="G308" s="2"/>
      <c r="H308" s="22"/>
      <c r="I308" s="22"/>
      <c r="J308" s="22"/>
      <c r="K308" s="22"/>
      <c r="L308" s="2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28"/>
      <c r="B309" s="2"/>
      <c r="C309" s="2"/>
      <c r="D309" s="2"/>
      <c r="E309" s="2"/>
      <c r="F309" s="2"/>
      <c r="G309" s="2"/>
      <c r="H309" s="22"/>
      <c r="I309" s="22"/>
      <c r="J309" s="22"/>
      <c r="K309" s="22"/>
      <c r="L309" s="2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28"/>
      <c r="B310" s="2"/>
      <c r="C310" s="2"/>
      <c r="D310" s="2"/>
      <c r="E310" s="2"/>
      <c r="F310" s="2"/>
      <c r="G310" s="2"/>
      <c r="H310" s="22"/>
      <c r="I310" s="22"/>
      <c r="J310" s="22"/>
      <c r="K310" s="22"/>
      <c r="L310" s="2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28"/>
      <c r="B311" s="2"/>
      <c r="C311" s="2"/>
      <c r="D311" s="2"/>
      <c r="E311" s="2"/>
      <c r="F311" s="2"/>
      <c r="G311" s="2"/>
      <c r="H311" s="22"/>
      <c r="I311" s="22"/>
      <c r="J311" s="22"/>
      <c r="K311" s="22"/>
      <c r="L311" s="2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28"/>
      <c r="B312" s="2"/>
      <c r="C312" s="2"/>
      <c r="D312" s="2"/>
      <c r="E312" s="2"/>
      <c r="F312" s="2"/>
      <c r="G312" s="2"/>
      <c r="H312" s="22"/>
      <c r="I312" s="22"/>
      <c r="J312" s="22"/>
      <c r="K312" s="22"/>
      <c r="L312" s="2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28"/>
      <c r="B313" s="2"/>
      <c r="C313" s="2"/>
      <c r="D313" s="2"/>
      <c r="E313" s="2"/>
      <c r="F313" s="2"/>
      <c r="G313" s="2"/>
      <c r="H313" s="22"/>
      <c r="I313" s="22"/>
      <c r="J313" s="22"/>
      <c r="K313" s="22"/>
      <c r="L313" s="2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28"/>
      <c r="B314" s="2"/>
      <c r="C314" s="2"/>
      <c r="D314" s="2"/>
      <c r="E314" s="2"/>
      <c r="F314" s="2"/>
      <c r="G314" s="2"/>
      <c r="H314" s="22"/>
      <c r="I314" s="22"/>
      <c r="J314" s="22"/>
      <c r="K314" s="22"/>
      <c r="L314" s="2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28"/>
      <c r="B315" s="2"/>
      <c r="C315" s="2"/>
      <c r="D315" s="2"/>
      <c r="E315" s="2"/>
      <c r="F315" s="2"/>
      <c r="G315" s="2"/>
      <c r="H315" s="22"/>
      <c r="I315" s="22"/>
      <c r="J315" s="22"/>
      <c r="K315" s="22"/>
      <c r="L315" s="2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28"/>
      <c r="B316" s="2"/>
      <c r="C316" s="2"/>
      <c r="D316" s="2"/>
      <c r="E316" s="2"/>
      <c r="F316" s="2"/>
      <c r="G316" s="2"/>
      <c r="H316" s="22"/>
      <c r="I316" s="22"/>
      <c r="J316" s="22"/>
      <c r="K316" s="22"/>
      <c r="L316" s="2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28"/>
      <c r="B317" s="2"/>
      <c r="C317" s="2"/>
      <c r="D317" s="2"/>
      <c r="E317" s="2"/>
      <c r="F317" s="2"/>
      <c r="G317" s="2"/>
      <c r="H317" s="22"/>
      <c r="I317" s="22"/>
      <c r="J317" s="22"/>
      <c r="K317" s="22"/>
      <c r="L317" s="2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28"/>
      <c r="B318" s="2"/>
      <c r="C318" s="2"/>
      <c r="D318" s="2"/>
      <c r="E318" s="2"/>
      <c r="F318" s="2"/>
      <c r="G318" s="2"/>
      <c r="H318" s="22"/>
      <c r="I318" s="22"/>
      <c r="J318" s="22"/>
      <c r="K318" s="22"/>
      <c r="L318" s="2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28"/>
      <c r="B319" s="2"/>
      <c r="C319" s="2"/>
      <c r="D319" s="2"/>
      <c r="E319" s="2"/>
      <c r="F319" s="2"/>
      <c r="G319" s="2"/>
      <c r="H319" s="22"/>
      <c r="I319" s="22"/>
      <c r="J319" s="22"/>
      <c r="K319" s="22"/>
      <c r="L319" s="2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28"/>
      <c r="B320" s="2"/>
      <c r="C320" s="2"/>
      <c r="D320" s="2"/>
      <c r="E320" s="2"/>
      <c r="F320" s="2"/>
      <c r="G320" s="2"/>
      <c r="H320" s="22"/>
      <c r="I320" s="22"/>
      <c r="J320" s="22"/>
      <c r="K320" s="22"/>
      <c r="L320" s="2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28"/>
      <c r="B321" s="2"/>
      <c r="C321" s="2"/>
      <c r="D321" s="2"/>
      <c r="E321" s="2"/>
      <c r="F321" s="2"/>
      <c r="G321" s="2"/>
      <c r="H321" s="22"/>
      <c r="I321" s="22"/>
      <c r="J321" s="22"/>
      <c r="K321" s="22"/>
      <c r="L321" s="2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28"/>
      <c r="B322" s="2"/>
      <c r="C322" s="2"/>
      <c r="D322" s="2"/>
      <c r="E322" s="2"/>
      <c r="F322" s="2"/>
      <c r="G322" s="2"/>
      <c r="H322" s="22"/>
      <c r="I322" s="22"/>
      <c r="J322" s="22"/>
      <c r="K322" s="22"/>
      <c r="L322" s="2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28"/>
      <c r="B323" s="2"/>
      <c r="C323" s="2"/>
      <c r="D323" s="2"/>
      <c r="E323" s="2"/>
      <c r="F323" s="2"/>
      <c r="G323" s="2"/>
      <c r="H323" s="22"/>
      <c r="I323" s="22"/>
      <c r="J323" s="22"/>
      <c r="K323" s="22"/>
      <c r="L323" s="2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28"/>
      <c r="B324" s="2"/>
      <c r="C324" s="2"/>
      <c r="D324" s="2"/>
      <c r="E324" s="2"/>
      <c r="F324" s="2"/>
      <c r="G324" s="2"/>
      <c r="H324" s="22"/>
      <c r="I324" s="22"/>
      <c r="J324" s="22"/>
      <c r="K324" s="22"/>
      <c r="L324" s="2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28"/>
      <c r="B325" s="2"/>
      <c r="C325" s="2"/>
      <c r="D325" s="2"/>
      <c r="E325" s="2"/>
      <c r="F325" s="2"/>
      <c r="G325" s="2"/>
      <c r="H325" s="22"/>
      <c r="I325" s="22"/>
      <c r="J325" s="22"/>
      <c r="K325" s="22"/>
      <c r="L325" s="2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28"/>
      <c r="B326" s="2"/>
      <c r="C326" s="2"/>
      <c r="D326" s="2"/>
      <c r="E326" s="2"/>
      <c r="F326" s="2"/>
      <c r="G326" s="2"/>
      <c r="H326" s="22"/>
      <c r="I326" s="22"/>
      <c r="J326" s="22"/>
      <c r="K326" s="22"/>
      <c r="L326" s="2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28"/>
      <c r="B327" s="2"/>
      <c r="C327" s="2"/>
      <c r="D327" s="2"/>
      <c r="E327" s="2"/>
      <c r="F327" s="2"/>
      <c r="G327" s="2"/>
      <c r="H327" s="22"/>
      <c r="I327" s="22"/>
      <c r="J327" s="22"/>
      <c r="K327" s="22"/>
      <c r="L327" s="2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28"/>
      <c r="B328" s="2"/>
      <c r="C328" s="2"/>
      <c r="D328" s="2"/>
      <c r="E328" s="2"/>
      <c r="F328" s="2"/>
      <c r="G328" s="2"/>
      <c r="H328" s="22"/>
      <c r="I328" s="22"/>
      <c r="J328" s="22"/>
      <c r="K328" s="22"/>
      <c r="L328" s="2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28"/>
      <c r="B329" s="2"/>
      <c r="C329" s="2"/>
      <c r="D329" s="2"/>
      <c r="E329" s="2"/>
      <c r="F329" s="2"/>
      <c r="G329" s="2"/>
      <c r="H329" s="22"/>
      <c r="I329" s="22"/>
      <c r="J329" s="22"/>
      <c r="K329" s="22"/>
      <c r="L329" s="2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28"/>
      <c r="B330" s="2"/>
      <c r="C330" s="2"/>
      <c r="D330" s="2"/>
      <c r="E330" s="2"/>
      <c r="F330" s="2"/>
      <c r="G330" s="2"/>
      <c r="H330" s="22"/>
      <c r="I330" s="22"/>
      <c r="J330" s="22"/>
      <c r="K330" s="22"/>
      <c r="L330" s="2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28"/>
      <c r="B331" s="2"/>
      <c r="C331" s="2"/>
      <c r="D331" s="2"/>
      <c r="E331" s="2"/>
      <c r="F331" s="2"/>
      <c r="G331" s="2"/>
      <c r="H331" s="22"/>
      <c r="I331" s="22"/>
      <c r="J331" s="22"/>
      <c r="K331" s="22"/>
      <c r="L331" s="2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28"/>
      <c r="B332" s="2"/>
      <c r="C332" s="2"/>
      <c r="D332" s="2"/>
      <c r="E332" s="2"/>
      <c r="F332" s="2"/>
      <c r="G332" s="2"/>
      <c r="H332" s="22"/>
      <c r="I332" s="22"/>
      <c r="J332" s="22"/>
      <c r="K332" s="22"/>
      <c r="L332" s="2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28"/>
      <c r="B333" s="2"/>
      <c r="C333" s="2"/>
      <c r="D333" s="2"/>
      <c r="E333" s="2"/>
      <c r="F333" s="2"/>
      <c r="G333" s="2"/>
      <c r="H333" s="22"/>
      <c r="I333" s="22"/>
      <c r="J333" s="22"/>
      <c r="K333" s="22"/>
      <c r="L333" s="2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28"/>
      <c r="B334" s="2"/>
      <c r="C334" s="2"/>
      <c r="D334" s="2"/>
      <c r="E334" s="2"/>
      <c r="F334" s="2"/>
      <c r="G334" s="2"/>
      <c r="H334" s="22"/>
      <c r="I334" s="22"/>
      <c r="J334" s="22"/>
      <c r="K334" s="22"/>
      <c r="L334" s="2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28"/>
      <c r="B335" s="2"/>
      <c r="C335" s="2"/>
      <c r="D335" s="2"/>
      <c r="E335" s="2"/>
      <c r="F335" s="2"/>
      <c r="G335" s="2"/>
      <c r="H335" s="22"/>
      <c r="I335" s="22"/>
      <c r="J335" s="22"/>
      <c r="K335" s="22"/>
      <c r="L335" s="2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28"/>
      <c r="B336" s="2"/>
      <c r="C336" s="2"/>
      <c r="D336" s="2"/>
      <c r="E336" s="2"/>
      <c r="F336" s="2"/>
      <c r="G336" s="2"/>
      <c r="H336" s="22"/>
      <c r="I336" s="22"/>
      <c r="J336" s="22"/>
      <c r="K336" s="22"/>
      <c r="L336" s="2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28"/>
      <c r="B337" s="2"/>
      <c r="C337" s="2"/>
      <c r="D337" s="2"/>
      <c r="E337" s="2"/>
      <c r="F337" s="2"/>
      <c r="G337" s="2"/>
      <c r="H337" s="22"/>
      <c r="I337" s="22"/>
      <c r="J337" s="22"/>
      <c r="K337" s="22"/>
      <c r="L337" s="2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28"/>
      <c r="B338" s="2"/>
      <c r="C338" s="2"/>
      <c r="D338" s="2"/>
      <c r="E338" s="2"/>
      <c r="F338" s="2"/>
      <c r="G338" s="2"/>
      <c r="H338" s="22"/>
      <c r="I338" s="22"/>
      <c r="J338" s="22"/>
      <c r="K338" s="22"/>
      <c r="L338" s="2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28"/>
      <c r="B339" s="2"/>
      <c r="C339" s="2"/>
      <c r="D339" s="2"/>
      <c r="E339" s="2"/>
      <c r="F339" s="2"/>
      <c r="G339" s="2"/>
      <c r="H339" s="22"/>
      <c r="I339" s="22"/>
      <c r="J339" s="22"/>
      <c r="K339" s="22"/>
      <c r="L339" s="2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28"/>
      <c r="B340" s="2"/>
      <c r="C340" s="2"/>
      <c r="D340" s="2"/>
      <c r="E340" s="2"/>
      <c r="F340" s="2"/>
      <c r="G340" s="2"/>
      <c r="H340" s="22"/>
      <c r="I340" s="22"/>
      <c r="J340" s="22"/>
      <c r="K340" s="22"/>
      <c r="L340" s="2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28"/>
      <c r="B341" s="2"/>
      <c r="C341" s="2"/>
      <c r="D341" s="2"/>
      <c r="E341" s="2"/>
      <c r="F341" s="2"/>
      <c r="G341" s="2"/>
      <c r="H341" s="22"/>
      <c r="I341" s="22"/>
      <c r="J341" s="22"/>
      <c r="K341" s="22"/>
      <c r="L341" s="2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28"/>
      <c r="B342" s="2"/>
      <c r="C342" s="2"/>
      <c r="D342" s="2"/>
      <c r="E342" s="2"/>
      <c r="F342" s="2"/>
      <c r="G342" s="2"/>
      <c r="H342" s="22"/>
      <c r="I342" s="22"/>
      <c r="J342" s="22"/>
      <c r="K342" s="22"/>
      <c r="L342" s="2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28"/>
      <c r="B343" s="2"/>
      <c r="C343" s="2"/>
      <c r="D343" s="2"/>
      <c r="E343" s="2"/>
      <c r="F343" s="2"/>
      <c r="G343" s="2"/>
      <c r="H343" s="22"/>
      <c r="I343" s="22"/>
      <c r="J343" s="22"/>
      <c r="K343" s="22"/>
      <c r="L343" s="2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28"/>
      <c r="B344" s="2"/>
      <c r="C344" s="2"/>
      <c r="D344" s="2"/>
      <c r="E344" s="2"/>
      <c r="F344" s="2"/>
      <c r="G344" s="2"/>
      <c r="H344" s="22"/>
      <c r="I344" s="22"/>
      <c r="J344" s="22"/>
      <c r="K344" s="22"/>
      <c r="L344" s="2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28"/>
      <c r="B345" s="2"/>
      <c r="C345" s="2"/>
      <c r="D345" s="2"/>
      <c r="E345" s="2"/>
      <c r="F345" s="2"/>
      <c r="G345" s="2"/>
      <c r="H345" s="22"/>
      <c r="I345" s="22"/>
      <c r="J345" s="22"/>
      <c r="K345" s="22"/>
      <c r="L345" s="2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28"/>
      <c r="B346" s="2"/>
      <c r="C346" s="2"/>
      <c r="D346" s="2"/>
      <c r="E346" s="2"/>
      <c r="F346" s="2"/>
      <c r="G346" s="2"/>
      <c r="H346" s="22"/>
      <c r="I346" s="22"/>
      <c r="J346" s="22"/>
      <c r="K346" s="22"/>
      <c r="L346" s="2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28"/>
      <c r="B347" s="2"/>
      <c r="C347" s="2"/>
      <c r="D347" s="2"/>
      <c r="E347" s="2"/>
      <c r="F347" s="2"/>
      <c r="G347" s="2"/>
      <c r="H347" s="22"/>
      <c r="I347" s="22"/>
      <c r="J347" s="22"/>
      <c r="K347" s="22"/>
      <c r="L347" s="2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28"/>
      <c r="B348" s="2"/>
      <c r="C348" s="2"/>
      <c r="D348" s="2"/>
      <c r="E348" s="2"/>
      <c r="F348" s="2"/>
      <c r="G348" s="2"/>
      <c r="H348" s="22"/>
      <c r="I348" s="22"/>
      <c r="J348" s="22"/>
      <c r="K348" s="22"/>
      <c r="L348" s="2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28"/>
      <c r="B349" s="2"/>
      <c r="C349" s="2"/>
      <c r="D349" s="2"/>
      <c r="E349" s="2"/>
      <c r="F349" s="2"/>
      <c r="G349" s="2"/>
      <c r="H349" s="22"/>
      <c r="I349" s="22"/>
      <c r="J349" s="22"/>
      <c r="K349" s="22"/>
      <c r="L349" s="2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28"/>
      <c r="B350" s="2"/>
      <c r="C350" s="2"/>
      <c r="D350" s="2"/>
      <c r="E350" s="2"/>
      <c r="F350" s="2"/>
      <c r="G350" s="2"/>
      <c r="H350" s="22"/>
      <c r="I350" s="22"/>
      <c r="J350" s="22"/>
      <c r="K350" s="22"/>
      <c r="L350" s="2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28"/>
      <c r="B351" s="2"/>
      <c r="C351" s="2"/>
      <c r="D351" s="2"/>
      <c r="E351" s="2"/>
      <c r="F351" s="2"/>
      <c r="G351" s="2"/>
      <c r="H351" s="22"/>
      <c r="I351" s="22"/>
      <c r="J351" s="22"/>
      <c r="K351" s="22"/>
      <c r="L351" s="2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28"/>
      <c r="B352" s="2"/>
      <c r="C352" s="2"/>
      <c r="D352" s="2"/>
      <c r="E352" s="2"/>
      <c r="F352" s="2"/>
      <c r="G352" s="2"/>
      <c r="H352" s="22"/>
      <c r="I352" s="22"/>
      <c r="J352" s="22"/>
      <c r="K352" s="22"/>
      <c r="L352" s="2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28"/>
      <c r="B353" s="2"/>
      <c r="C353" s="2"/>
      <c r="D353" s="2"/>
      <c r="E353" s="2"/>
      <c r="F353" s="2"/>
      <c r="G353" s="2"/>
      <c r="H353" s="22"/>
      <c r="I353" s="22"/>
      <c r="J353" s="22"/>
      <c r="K353" s="22"/>
      <c r="L353" s="2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28"/>
      <c r="B354" s="2"/>
      <c r="C354" s="2"/>
      <c r="D354" s="2"/>
      <c r="E354" s="2"/>
      <c r="F354" s="2"/>
      <c r="G354" s="2"/>
      <c r="H354" s="22"/>
      <c r="I354" s="22"/>
      <c r="J354" s="22"/>
      <c r="K354" s="22"/>
      <c r="L354" s="2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28"/>
      <c r="B355" s="2"/>
      <c r="C355" s="2"/>
      <c r="D355" s="2"/>
      <c r="E355" s="2"/>
      <c r="F355" s="2"/>
      <c r="G355" s="2"/>
      <c r="H355" s="22"/>
      <c r="I355" s="22"/>
      <c r="J355" s="22"/>
      <c r="K355" s="22"/>
      <c r="L355" s="2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28"/>
      <c r="B356" s="2"/>
      <c r="C356" s="2"/>
      <c r="D356" s="2"/>
      <c r="E356" s="2"/>
      <c r="F356" s="2"/>
      <c r="G356" s="2"/>
      <c r="H356" s="22"/>
      <c r="I356" s="22"/>
      <c r="J356" s="22"/>
      <c r="K356" s="22"/>
      <c r="L356" s="2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28"/>
      <c r="B357" s="2"/>
      <c r="C357" s="2"/>
      <c r="D357" s="2"/>
      <c r="E357" s="2"/>
      <c r="F357" s="2"/>
      <c r="G357" s="2"/>
      <c r="H357" s="22"/>
      <c r="I357" s="22"/>
      <c r="J357" s="22"/>
      <c r="K357" s="22"/>
      <c r="L357" s="2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28"/>
      <c r="B358" s="2"/>
      <c r="C358" s="2"/>
      <c r="D358" s="2"/>
      <c r="E358" s="2"/>
      <c r="F358" s="2"/>
      <c r="G358" s="2"/>
      <c r="H358" s="22"/>
      <c r="I358" s="22"/>
      <c r="J358" s="22"/>
      <c r="K358" s="22"/>
      <c r="L358" s="2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28"/>
      <c r="B359" s="2"/>
      <c r="C359" s="2"/>
      <c r="D359" s="2"/>
      <c r="E359" s="2"/>
      <c r="F359" s="2"/>
      <c r="G359" s="2"/>
      <c r="H359" s="22"/>
      <c r="I359" s="22"/>
      <c r="J359" s="22"/>
      <c r="K359" s="22"/>
      <c r="L359" s="2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28"/>
      <c r="B360" s="2"/>
      <c r="C360" s="2"/>
      <c r="D360" s="2"/>
      <c r="E360" s="2"/>
      <c r="F360" s="2"/>
      <c r="G360" s="2"/>
      <c r="H360" s="22"/>
      <c r="I360" s="22"/>
      <c r="J360" s="22"/>
      <c r="K360" s="22"/>
      <c r="L360" s="2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28"/>
      <c r="B361" s="2"/>
      <c r="C361" s="2"/>
      <c r="D361" s="2"/>
      <c r="E361" s="2"/>
      <c r="F361" s="2"/>
      <c r="G361" s="2"/>
      <c r="H361" s="22"/>
      <c r="I361" s="22"/>
      <c r="J361" s="22"/>
      <c r="K361" s="22"/>
      <c r="L361" s="2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28"/>
      <c r="B362" s="2"/>
      <c r="C362" s="2"/>
      <c r="D362" s="2"/>
      <c r="E362" s="2"/>
      <c r="F362" s="2"/>
      <c r="G362" s="2"/>
      <c r="H362" s="22"/>
      <c r="I362" s="22"/>
      <c r="J362" s="22"/>
      <c r="K362" s="22"/>
      <c r="L362" s="2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28"/>
      <c r="B363" s="2"/>
      <c r="C363" s="2"/>
      <c r="D363" s="2"/>
      <c r="E363" s="2"/>
      <c r="F363" s="2"/>
      <c r="G363" s="2"/>
      <c r="H363" s="22"/>
      <c r="I363" s="22"/>
      <c r="J363" s="22"/>
      <c r="K363" s="22"/>
      <c r="L363" s="2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28"/>
      <c r="B364" s="2"/>
      <c r="C364" s="2"/>
      <c r="D364" s="2"/>
      <c r="E364" s="2"/>
      <c r="F364" s="2"/>
      <c r="G364" s="2"/>
      <c r="H364" s="22"/>
      <c r="I364" s="22"/>
      <c r="J364" s="22"/>
      <c r="K364" s="22"/>
      <c r="L364" s="2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28"/>
      <c r="B365" s="2"/>
      <c r="C365" s="2"/>
      <c r="D365" s="2"/>
      <c r="E365" s="2"/>
      <c r="F365" s="2"/>
      <c r="G365" s="2"/>
      <c r="H365" s="22"/>
      <c r="I365" s="22"/>
      <c r="J365" s="22"/>
      <c r="K365" s="22"/>
      <c r="L365" s="2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28"/>
      <c r="B366" s="2"/>
      <c r="C366" s="2"/>
      <c r="D366" s="2"/>
      <c r="E366" s="2"/>
      <c r="F366" s="2"/>
      <c r="G366" s="2"/>
      <c r="H366" s="22"/>
      <c r="I366" s="22"/>
      <c r="J366" s="22"/>
      <c r="K366" s="22"/>
      <c r="L366" s="2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28"/>
      <c r="B367" s="2"/>
      <c r="C367" s="2"/>
      <c r="D367" s="2"/>
      <c r="E367" s="2"/>
      <c r="F367" s="2"/>
      <c r="G367" s="2"/>
      <c r="H367" s="22"/>
      <c r="I367" s="22"/>
      <c r="J367" s="22"/>
      <c r="K367" s="22"/>
      <c r="L367" s="2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28"/>
      <c r="B368" s="2"/>
      <c r="C368" s="2"/>
      <c r="D368" s="2"/>
      <c r="E368" s="2"/>
      <c r="F368" s="2"/>
      <c r="G368" s="2"/>
      <c r="H368" s="22"/>
      <c r="I368" s="22"/>
      <c r="J368" s="22"/>
      <c r="K368" s="22"/>
      <c r="L368" s="2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28"/>
      <c r="B369" s="2"/>
      <c r="C369" s="2"/>
      <c r="D369" s="2"/>
      <c r="E369" s="2"/>
      <c r="F369" s="2"/>
      <c r="G369" s="2"/>
      <c r="H369" s="22"/>
      <c r="I369" s="22"/>
      <c r="J369" s="22"/>
      <c r="K369" s="22"/>
      <c r="L369" s="2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28"/>
      <c r="B370" s="2"/>
      <c r="C370" s="2"/>
      <c r="D370" s="2"/>
      <c r="E370" s="2"/>
      <c r="F370" s="2"/>
      <c r="G370" s="2"/>
      <c r="H370" s="22"/>
      <c r="I370" s="22"/>
      <c r="J370" s="22"/>
      <c r="K370" s="22"/>
      <c r="L370" s="2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28"/>
      <c r="B371" s="2"/>
      <c r="C371" s="2"/>
      <c r="D371" s="2"/>
      <c r="E371" s="2"/>
      <c r="F371" s="2"/>
      <c r="G371" s="2"/>
      <c r="H371" s="22"/>
      <c r="I371" s="22"/>
      <c r="J371" s="22"/>
      <c r="K371" s="22"/>
      <c r="L371" s="2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28"/>
      <c r="B372" s="2"/>
      <c r="C372" s="2"/>
      <c r="D372" s="2"/>
      <c r="E372" s="2"/>
      <c r="F372" s="2"/>
      <c r="G372" s="2"/>
      <c r="H372" s="22"/>
      <c r="I372" s="22"/>
      <c r="J372" s="22"/>
      <c r="K372" s="22"/>
      <c r="L372" s="2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28"/>
      <c r="B373" s="2"/>
      <c r="C373" s="2"/>
      <c r="D373" s="2"/>
      <c r="E373" s="2"/>
      <c r="F373" s="2"/>
      <c r="G373" s="2"/>
      <c r="H373" s="22"/>
      <c r="I373" s="22"/>
      <c r="J373" s="22"/>
      <c r="K373" s="22"/>
      <c r="L373" s="2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28"/>
      <c r="B374" s="2"/>
      <c r="C374" s="2"/>
      <c r="D374" s="2"/>
      <c r="E374" s="2"/>
      <c r="F374" s="2"/>
      <c r="G374" s="2"/>
      <c r="H374" s="22"/>
      <c r="I374" s="22"/>
      <c r="J374" s="22"/>
      <c r="K374" s="22"/>
      <c r="L374" s="2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28"/>
      <c r="B375" s="2"/>
      <c r="C375" s="2"/>
      <c r="D375" s="2"/>
      <c r="E375" s="2"/>
      <c r="F375" s="2"/>
      <c r="G375" s="2"/>
      <c r="H375" s="22"/>
      <c r="I375" s="22"/>
      <c r="J375" s="22"/>
      <c r="K375" s="22"/>
      <c r="L375" s="2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28"/>
      <c r="B376" s="2"/>
      <c r="C376" s="2"/>
      <c r="D376" s="2"/>
      <c r="E376" s="2"/>
      <c r="F376" s="2"/>
      <c r="G376" s="2"/>
      <c r="H376" s="22"/>
      <c r="I376" s="22"/>
      <c r="J376" s="22"/>
      <c r="K376" s="22"/>
      <c r="L376" s="2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28"/>
      <c r="B377" s="2"/>
      <c r="C377" s="2"/>
      <c r="D377" s="2"/>
      <c r="E377" s="2"/>
      <c r="F377" s="2"/>
      <c r="G377" s="2"/>
      <c r="H377" s="22"/>
      <c r="I377" s="22"/>
      <c r="J377" s="22"/>
      <c r="K377" s="22"/>
      <c r="L377" s="2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28"/>
      <c r="B378" s="2"/>
      <c r="C378" s="2"/>
      <c r="D378" s="2"/>
      <c r="E378" s="2"/>
      <c r="F378" s="2"/>
      <c r="G378" s="2"/>
      <c r="H378" s="22"/>
      <c r="I378" s="22"/>
      <c r="J378" s="22"/>
      <c r="K378" s="22"/>
      <c r="L378" s="2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28"/>
      <c r="B379" s="2"/>
      <c r="C379" s="2"/>
      <c r="D379" s="2"/>
      <c r="E379" s="2"/>
      <c r="F379" s="2"/>
      <c r="G379" s="2"/>
      <c r="H379" s="22"/>
      <c r="I379" s="22"/>
      <c r="J379" s="22"/>
      <c r="K379" s="22"/>
      <c r="L379" s="2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28"/>
      <c r="B380" s="2"/>
      <c r="C380" s="2"/>
      <c r="D380" s="2"/>
      <c r="E380" s="2"/>
      <c r="F380" s="2"/>
      <c r="G380" s="2"/>
      <c r="H380" s="22"/>
      <c r="I380" s="22"/>
      <c r="J380" s="22"/>
      <c r="K380" s="22"/>
      <c r="L380" s="2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28"/>
      <c r="B381" s="2"/>
      <c r="C381" s="2"/>
      <c r="D381" s="2"/>
      <c r="E381" s="2"/>
      <c r="F381" s="2"/>
      <c r="G381" s="2"/>
      <c r="H381" s="22"/>
      <c r="I381" s="22"/>
      <c r="J381" s="22"/>
      <c r="K381" s="22"/>
      <c r="L381" s="2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28"/>
      <c r="B382" s="2"/>
      <c r="C382" s="2"/>
      <c r="D382" s="2"/>
      <c r="E382" s="2"/>
      <c r="F382" s="2"/>
      <c r="G382" s="2"/>
      <c r="H382" s="22"/>
      <c r="I382" s="22"/>
      <c r="J382" s="22"/>
      <c r="K382" s="22"/>
      <c r="L382" s="2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28"/>
      <c r="B383" s="2"/>
      <c r="C383" s="2"/>
      <c r="D383" s="2"/>
      <c r="E383" s="2"/>
      <c r="F383" s="2"/>
      <c r="G383" s="2"/>
      <c r="H383" s="22"/>
      <c r="I383" s="22"/>
      <c r="J383" s="22"/>
      <c r="K383" s="22"/>
      <c r="L383" s="2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28"/>
      <c r="B384" s="2"/>
      <c r="C384" s="2"/>
      <c r="D384" s="2"/>
      <c r="E384" s="2"/>
      <c r="F384" s="2"/>
      <c r="G384" s="2"/>
      <c r="H384" s="22"/>
      <c r="I384" s="22"/>
      <c r="J384" s="22"/>
      <c r="K384" s="22"/>
      <c r="L384" s="2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28"/>
      <c r="B385" s="2"/>
      <c r="C385" s="2"/>
      <c r="D385" s="2"/>
      <c r="E385" s="2"/>
      <c r="F385" s="2"/>
      <c r="G385" s="2"/>
      <c r="H385" s="22"/>
      <c r="I385" s="22"/>
      <c r="J385" s="22"/>
      <c r="K385" s="22"/>
      <c r="L385" s="2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28"/>
      <c r="B386" s="2"/>
      <c r="C386" s="2"/>
      <c r="D386" s="2"/>
      <c r="E386" s="2"/>
      <c r="F386" s="2"/>
      <c r="G386" s="2"/>
      <c r="H386" s="22"/>
      <c r="I386" s="22"/>
      <c r="J386" s="22"/>
      <c r="K386" s="22"/>
      <c r="L386" s="2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28"/>
      <c r="B387" s="2"/>
      <c r="C387" s="2"/>
      <c r="D387" s="2"/>
      <c r="E387" s="2"/>
      <c r="F387" s="2"/>
      <c r="G387" s="2"/>
      <c r="H387" s="22"/>
      <c r="I387" s="22"/>
      <c r="J387" s="22"/>
      <c r="K387" s="22"/>
      <c r="L387" s="2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28"/>
      <c r="B388" s="2"/>
      <c r="C388" s="2"/>
      <c r="D388" s="2"/>
      <c r="E388" s="2"/>
      <c r="F388" s="2"/>
      <c r="G388" s="2"/>
      <c r="H388" s="22"/>
      <c r="I388" s="22"/>
      <c r="J388" s="22"/>
      <c r="K388" s="22"/>
      <c r="L388" s="2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28"/>
      <c r="B389" s="2"/>
      <c r="C389" s="2"/>
      <c r="D389" s="2"/>
      <c r="E389" s="2"/>
      <c r="F389" s="2"/>
      <c r="G389" s="2"/>
      <c r="H389" s="22"/>
      <c r="I389" s="22"/>
      <c r="J389" s="22"/>
      <c r="K389" s="22"/>
      <c r="L389" s="2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28"/>
      <c r="B390" s="2"/>
      <c r="C390" s="2"/>
      <c r="D390" s="2"/>
      <c r="E390" s="2"/>
      <c r="F390" s="2"/>
      <c r="G390" s="2"/>
      <c r="H390" s="22"/>
      <c r="I390" s="22"/>
      <c r="J390" s="22"/>
      <c r="K390" s="22"/>
      <c r="L390" s="2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28"/>
      <c r="B391" s="2"/>
      <c r="C391" s="2"/>
      <c r="D391" s="2"/>
      <c r="E391" s="2"/>
      <c r="F391" s="2"/>
      <c r="G391" s="2"/>
      <c r="H391" s="22"/>
      <c r="I391" s="22"/>
      <c r="J391" s="22"/>
      <c r="K391" s="22"/>
      <c r="L391" s="2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28"/>
      <c r="B392" s="2"/>
      <c r="C392" s="2"/>
      <c r="D392" s="2"/>
      <c r="E392" s="2"/>
      <c r="F392" s="2"/>
      <c r="G392" s="2"/>
      <c r="H392" s="22"/>
      <c r="I392" s="22"/>
      <c r="J392" s="22"/>
      <c r="K392" s="22"/>
      <c r="L392" s="2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28"/>
      <c r="B393" s="2"/>
      <c r="C393" s="2"/>
      <c r="D393" s="2"/>
      <c r="E393" s="2"/>
      <c r="F393" s="2"/>
      <c r="G393" s="2"/>
      <c r="H393" s="22"/>
      <c r="I393" s="22"/>
      <c r="J393" s="22"/>
      <c r="K393" s="22"/>
      <c r="L393" s="2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28"/>
      <c r="B394" s="2"/>
      <c r="C394" s="2"/>
      <c r="D394" s="2"/>
      <c r="E394" s="2"/>
      <c r="F394" s="2"/>
      <c r="G394" s="2"/>
      <c r="H394" s="22"/>
      <c r="I394" s="22"/>
      <c r="J394" s="22"/>
      <c r="K394" s="22"/>
      <c r="L394" s="2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28"/>
      <c r="B395" s="2"/>
      <c r="C395" s="2"/>
      <c r="D395" s="2"/>
      <c r="E395" s="2"/>
      <c r="F395" s="2"/>
      <c r="G395" s="2"/>
      <c r="H395" s="22"/>
      <c r="I395" s="22"/>
      <c r="J395" s="22"/>
      <c r="K395" s="22"/>
      <c r="L395" s="2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28"/>
      <c r="B396" s="2"/>
      <c r="C396" s="2"/>
      <c r="D396" s="2"/>
      <c r="E396" s="2"/>
      <c r="F396" s="2"/>
      <c r="G396" s="2"/>
      <c r="H396" s="22"/>
      <c r="I396" s="22"/>
      <c r="J396" s="22"/>
      <c r="K396" s="22"/>
      <c r="L396" s="2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28"/>
      <c r="B397" s="2"/>
      <c r="C397" s="2"/>
      <c r="D397" s="2"/>
      <c r="E397" s="2"/>
      <c r="F397" s="2"/>
      <c r="G397" s="2"/>
      <c r="H397" s="22"/>
      <c r="I397" s="22"/>
      <c r="J397" s="22"/>
      <c r="K397" s="22"/>
      <c r="L397" s="2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28"/>
      <c r="B398" s="2"/>
      <c r="C398" s="2"/>
      <c r="D398" s="2"/>
      <c r="E398" s="2"/>
      <c r="F398" s="2"/>
      <c r="G398" s="2"/>
      <c r="H398" s="22"/>
      <c r="I398" s="22"/>
      <c r="J398" s="22"/>
      <c r="K398" s="22"/>
      <c r="L398" s="2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28"/>
      <c r="B399" s="2"/>
      <c r="C399" s="2"/>
      <c r="D399" s="2"/>
      <c r="E399" s="2"/>
      <c r="F399" s="2"/>
      <c r="G399" s="2"/>
      <c r="H399" s="22"/>
      <c r="I399" s="22"/>
      <c r="J399" s="22"/>
      <c r="K399" s="22"/>
      <c r="L399" s="2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28"/>
      <c r="B400" s="2"/>
      <c r="C400" s="2"/>
      <c r="D400" s="2"/>
      <c r="E400" s="2"/>
      <c r="F400" s="2"/>
      <c r="G400" s="2"/>
      <c r="H400" s="22"/>
      <c r="I400" s="22"/>
      <c r="J400" s="22"/>
      <c r="K400" s="22"/>
      <c r="L400" s="2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28"/>
      <c r="B401" s="2"/>
      <c r="C401" s="2"/>
      <c r="D401" s="2"/>
      <c r="E401" s="2"/>
      <c r="F401" s="2"/>
      <c r="G401" s="2"/>
      <c r="H401" s="22"/>
      <c r="I401" s="22"/>
      <c r="J401" s="22"/>
      <c r="K401" s="22"/>
      <c r="L401" s="2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28"/>
      <c r="B402" s="2"/>
      <c r="C402" s="2"/>
      <c r="D402" s="2"/>
      <c r="E402" s="2"/>
      <c r="F402" s="2"/>
      <c r="G402" s="2"/>
      <c r="H402" s="22"/>
      <c r="I402" s="22"/>
      <c r="J402" s="22"/>
      <c r="K402" s="22"/>
      <c r="L402" s="2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28"/>
      <c r="B403" s="2"/>
      <c r="C403" s="2"/>
      <c r="D403" s="2"/>
      <c r="E403" s="2"/>
      <c r="F403" s="2"/>
      <c r="G403" s="2"/>
      <c r="H403" s="22"/>
      <c r="I403" s="22"/>
      <c r="J403" s="22"/>
      <c r="K403" s="22"/>
      <c r="L403" s="2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28"/>
      <c r="B404" s="2"/>
      <c r="C404" s="2"/>
      <c r="D404" s="2"/>
      <c r="E404" s="2"/>
      <c r="F404" s="2"/>
      <c r="G404" s="2"/>
      <c r="H404" s="22"/>
      <c r="I404" s="22"/>
      <c r="J404" s="22"/>
      <c r="K404" s="22"/>
      <c r="L404" s="2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28"/>
      <c r="B405" s="2"/>
      <c r="C405" s="2"/>
      <c r="D405" s="2"/>
      <c r="E405" s="2"/>
      <c r="F405" s="2"/>
      <c r="G405" s="2"/>
      <c r="H405" s="22"/>
      <c r="I405" s="22"/>
      <c r="J405" s="22"/>
      <c r="K405" s="22"/>
      <c r="L405" s="2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28"/>
      <c r="B406" s="2"/>
      <c r="C406" s="2"/>
      <c r="D406" s="2"/>
      <c r="E406" s="2"/>
      <c r="F406" s="2"/>
      <c r="G406" s="2"/>
      <c r="H406" s="22"/>
      <c r="I406" s="22"/>
      <c r="J406" s="22"/>
      <c r="K406" s="22"/>
      <c r="L406" s="2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28"/>
      <c r="B407" s="2"/>
      <c r="C407" s="2"/>
      <c r="D407" s="2"/>
      <c r="E407" s="2"/>
      <c r="F407" s="2"/>
      <c r="G407" s="2"/>
      <c r="H407" s="22"/>
      <c r="I407" s="22"/>
      <c r="J407" s="22"/>
      <c r="K407" s="22"/>
      <c r="L407" s="2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28"/>
      <c r="B408" s="2"/>
      <c r="C408" s="2"/>
      <c r="D408" s="2"/>
      <c r="E408" s="2"/>
      <c r="F408" s="2"/>
      <c r="G408" s="2"/>
      <c r="H408" s="22"/>
      <c r="I408" s="22"/>
      <c r="J408" s="22"/>
      <c r="K408" s="22"/>
      <c r="L408" s="2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28"/>
      <c r="B409" s="2"/>
      <c r="C409" s="2"/>
      <c r="D409" s="2"/>
      <c r="E409" s="2"/>
      <c r="F409" s="2"/>
      <c r="G409" s="2"/>
      <c r="H409" s="22"/>
      <c r="I409" s="22"/>
      <c r="J409" s="22"/>
      <c r="K409" s="22"/>
      <c r="L409" s="2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28"/>
      <c r="B410" s="2"/>
      <c r="C410" s="2"/>
      <c r="D410" s="2"/>
      <c r="E410" s="2"/>
      <c r="F410" s="2"/>
      <c r="G410" s="2"/>
      <c r="H410" s="22"/>
      <c r="I410" s="22"/>
      <c r="J410" s="22"/>
      <c r="K410" s="22"/>
      <c r="L410" s="2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28"/>
      <c r="B411" s="2"/>
      <c r="C411" s="2"/>
      <c r="D411" s="2"/>
      <c r="E411" s="2"/>
      <c r="F411" s="2"/>
      <c r="G411" s="2"/>
      <c r="H411" s="22"/>
      <c r="I411" s="22"/>
      <c r="J411" s="22"/>
      <c r="K411" s="22"/>
      <c r="L411" s="2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28"/>
      <c r="B412" s="2"/>
      <c r="C412" s="2"/>
      <c r="D412" s="2"/>
      <c r="E412" s="2"/>
      <c r="F412" s="2"/>
      <c r="G412" s="2"/>
      <c r="H412" s="22"/>
      <c r="I412" s="22"/>
      <c r="J412" s="22"/>
      <c r="K412" s="22"/>
      <c r="L412" s="2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28"/>
      <c r="B413" s="2"/>
      <c r="C413" s="2"/>
      <c r="D413" s="2"/>
      <c r="E413" s="2"/>
      <c r="F413" s="2"/>
      <c r="G413" s="2"/>
      <c r="H413" s="22"/>
      <c r="I413" s="22"/>
      <c r="J413" s="22"/>
      <c r="K413" s="22"/>
      <c r="L413" s="2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28"/>
      <c r="B414" s="2"/>
      <c r="C414" s="2"/>
      <c r="D414" s="2"/>
      <c r="E414" s="2"/>
      <c r="F414" s="2"/>
      <c r="G414" s="2"/>
      <c r="H414" s="22"/>
      <c r="I414" s="22"/>
      <c r="J414" s="22"/>
      <c r="K414" s="22"/>
      <c r="L414" s="2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28"/>
      <c r="B415" s="2"/>
      <c r="C415" s="2"/>
      <c r="D415" s="2"/>
      <c r="E415" s="2"/>
      <c r="F415" s="2"/>
      <c r="G415" s="2"/>
      <c r="H415" s="22"/>
      <c r="I415" s="22"/>
      <c r="J415" s="22"/>
      <c r="K415" s="22"/>
      <c r="L415" s="2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28"/>
      <c r="B416" s="2"/>
      <c r="C416" s="2"/>
      <c r="D416" s="2"/>
      <c r="E416" s="2"/>
      <c r="F416" s="2"/>
      <c r="G416" s="2"/>
      <c r="H416" s="22"/>
      <c r="I416" s="22"/>
      <c r="J416" s="22"/>
      <c r="K416" s="22"/>
      <c r="L416" s="2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28"/>
      <c r="B417" s="2"/>
      <c r="C417" s="2"/>
      <c r="D417" s="2"/>
      <c r="E417" s="2"/>
      <c r="F417" s="2"/>
      <c r="G417" s="2"/>
      <c r="H417" s="22"/>
      <c r="I417" s="22"/>
      <c r="J417" s="22"/>
      <c r="K417" s="22"/>
      <c r="L417" s="2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28"/>
      <c r="B418" s="2"/>
      <c r="C418" s="2"/>
      <c r="D418" s="2"/>
      <c r="E418" s="2"/>
      <c r="F418" s="2"/>
      <c r="G418" s="2"/>
      <c r="H418" s="22"/>
      <c r="I418" s="22"/>
      <c r="J418" s="22"/>
      <c r="K418" s="22"/>
      <c r="L418" s="2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28"/>
      <c r="B419" s="2"/>
      <c r="C419" s="2"/>
      <c r="D419" s="2"/>
      <c r="E419" s="2"/>
      <c r="F419" s="2"/>
      <c r="G419" s="2"/>
      <c r="H419" s="22"/>
      <c r="I419" s="22"/>
      <c r="J419" s="22"/>
      <c r="K419" s="22"/>
      <c r="L419" s="2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28"/>
      <c r="B420" s="2"/>
      <c r="C420" s="2"/>
      <c r="D420" s="2"/>
      <c r="E420" s="2"/>
      <c r="F420" s="2"/>
      <c r="G420" s="2"/>
      <c r="H420" s="22"/>
      <c r="I420" s="22"/>
      <c r="J420" s="22"/>
      <c r="K420" s="22"/>
      <c r="L420" s="2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28"/>
      <c r="B421" s="2"/>
      <c r="C421" s="2"/>
      <c r="D421" s="2"/>
      <c r="E421" s="2"/>
      <c r="F421" s="2"/>
      <c r="G421" s="2"/>
      <c r="H421" s="22"/>
      <c r="I421" s="22"/>
      <c r="J421" s="22"/>
      <c r="K421" s="22"/>
      <c r="L421" s="2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28"/>
      <c r="B422" s="2"/>
      <c r="C422" s="2"/>
      <c r="D422" s="2"/>
      <c r="E422" s="2"/>
      <c r="F422" s="2"/>
      <c r="G422" s="2"/>
      <c r="H422" s="22"/>
      <c r="I422" s="22"/>
      <c r="J422" s="22"/>
      <c r="K422" s="22"/>
      <c r="L422" s="2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28"/>
      <c r="B423" s="2"/>
      <c r="C423" s="2"/>
      <c r="D423" s="2"/>
      <c r="E423" s="2"/>
      <c r="F423" s="2"/>
      <c r="G423" s="2"/>
      <c r="H423" s="22"/>
      <c r="I423" s="22"/>
      <c r="J423" s="22"/>
      <c r="K423" s="22"/>
      <c r="L423" s="2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28"/>
      <c r="B424" s="2"/>
      <c r="C424" s="2"/>
      <c r="D424" s="2"/>
      <c r="E424" s="2"/>
      <c r="F424" s="2"/>
      <c r="G424" s="2"/>
      <c r="H424" s="22"/>
      <c r="I424" s="22"/>
      <c r="J424" s="22"/>
      <c r="K424" s="22"/>
      <c r="L424" s="2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28"/>
      <c r="B425" s="2"/>
      <c r="C425" s="2"/>
      <c r="D425" s="2"/>
      <c r="E425" s="2"/>
      <c r="F425" s="2"/>
      <c r="G425" s="2"/>
      <c r="H425" s="22"/>
      <c r="I425" s="22"/>
      <c r="J425" s="22"/>
      <c r="K425" s="22"/>
      <c r="L425" s="2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28"/>
      <c r="B426" s="2"/>
      <c r="C426" s="2"/>
      <c r="D426" s="2"/>
      <c r="E426" s="2"/>
      <c r="F426" s="2"/>
      <c r="G426" s="2"/>
      <c r="H426" s="22"/>
      <c r="I426" s="22"/>
      <c r="J426" s="22"/>
      <c r="K426" s="22"/>
      <c r="L426" s="2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28"/>
      <c r="B427" s="2"/>
      <c r="C427" s="2"/>
      <c r="D427" s="2"/>
      <c r="E427" s="2"/>
      <c r="F427" s="2"/>
      <c r="G427" s="2"/>
      <c r="H427" s="22"/>
      <c r="I427" s="22"/>
      <c r="J427" s="22"/>
      <c r="K427" s="22"/>
      <c r="L427" s="2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28"/>
      <c r="B428" s="2"/>
      <c r="C428" s="2"/>
      <c r="D428" s="2"/>
      <c r="E428" s="2"/>
      <c r="F428" s="2"/>
      <c r="G428" s="2"/>
      <c r="H428" s="22"/>
      <c r="I428" s="22"/>
      <c r="J428" s="22"/>
      <c r="K428" s="22"/>
      <c r="L428" s="2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28"/>
      <c r="B429" s="2"/>
      <c r="C429" s="2"/>
      <c r="D429" s="2"/>
      <c r="E429" s="2"/>
      <c r="F429" s="2"/>
      <c r="G429" s="2"/>
      <c r="H429" s="22"/>
      <c r="I429" s="22"/>
      <c r="J429" s="22"/>
      <c r="K429" s="22"/>
      <c r="L429" s="2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28"/>
      <c r="B430" s="2"/>
      <c r="C430" s="2"/>
      <c r="D430" s="2"/>
      <c r="E430" s="2"/>
      <c r="F430" s="2"/>
      <c r="G430" s="2"/>
      <c r="H430" s="22"/>
      <c r="I430" s="22"/>
      <c r="J430" s="22"/>
      <c r="K430" s="22"/>
      <c r="L430" s="2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28"/>
      <c r="B431" s="2"/>
      <c r="C431" s="2"/>
      <c r="D431" s="2"/>
      <c r="E431" s="2"/>
      <c r="F431" s="2"/>
      <c r="G431" s="2"/>
      <c r="H431" s="22"/>
      <c r="I431" s="22"/>
      <c r="J431" s="22"/>
      <c r="K431" s="22"/>
      <c r="L431" s="2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28"/>
      <c r="B432" s="2"/>
      <c r="C432" s="2"/>
      <c r="D432" s="2"/>
      <c r="E432" s="2"/>
      <c r="F432" s="2"/>
      <c r="G432" s="2"/>
      <c r="H432" s="22"/>
      <c r="I432" s="22"/>
      <c r="J432" s="22"/>
      <c r="K432" s="22"/>
      <c r="L432" s="2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28"/>
      <c r="B433" s="2"/>
      <c r="C433" s="2"/>
      <c r="D433" s="2"/>
      <c r="E433" s="2"/>
      <c r="F433" s="2"/>
      <c r="G433" s="2"/>
      <c r="H433" s="22"/>
      <c r="I433" s="22"/>
      <c r="J433" s="22"/>
      <c r="K433" s="22"/>
      <c r="L433" s="2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28"/>
      <c r="B434" s="2"/>
      <c r="C434" s="2"/>
      <c r="D434" s="2"/>
      <c r="E434" s="2"/>
      <c r="F434" s="2"/>
      <c r="G434" s="2"/>
      <c r="H434" s="22"/>
      <c r="I434" s="22"/>
      <c r="J434" s="22"/>
      <c r="K434" s="22"/>
      <c r="L434" s="2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28"/>
      <c r="B435" s="2"/>
      <c r="C435" s="2"/>
      <c r="D435" s="2"/>
      <c r="E435" s="2"/>
      <c r="F435" s="2"/>
      <c r="G435" s="2"/>
      <c r="H435" s="22"/>
      <c r="I435" s="22"/>
      <c r="J435" s="22"/>
      <c r="K435" s="22"/>
      <c r="L435" s="2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28"/>
      <c r="B436" s="2"/>
      <c r="C436" s="2"/>
      <c r="D436" s="2"/>
      <c r="E436" s="2"/>
      <c r="F436" s="2"/>
      <c r="G436" s="2"/>
      <c r="H436" s="22"/>
      <c r="I436" s="22"/>
      <c r="J436" s="22"/>
      <c r="K436" s="22"/>
      <c r="L436" s="2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28"/>
      <c r="B437" s="2"/>
      <c r="C437" s="2"/>
      <c r="D437" s="2"/>
      <c r="E437" s="2"/>
      <c r="F437" s="2"/>
      <c r="G437" s="2"/>
      <c r="H437" s="22"/>
      <c r="I437" s="22"/>
      <c r="J437" s="22"/>
      <c r="K437" s="22"/>
      <c r="L437" s="2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28"/>
      <c r="B438" s="2"/>
      <c r="C438" s="2"/>
      <c r="D438" s="2"/>
      <c r="E438" s="2"/>
      <c r="F438" s="2"/>
      <c r="G438" s="2"/>
      <c r="H438" s="22"/>
      <c r="I438" s="22"/>
      <c r="J438" s="22"/>
      <c r="K438" s="22"/>
      <c r="L438" s="2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28"/>
      <c r="B439" s="2"/>
      <c r="C439" s="2"/>
      <c r="D439" s="2"/>
      <c r="E439" s="2"/>
      <c r="F439" s="2"/>
      <c r="G439" s="2"/>
      <c r="H439" s="22"/>
      <c r="I439" s="22"/>
      <c r="J439" s="22"/>
      <c r="K439" s="22"/>
      <c r="L439" s="2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28"/>
      <c r="B440" s="2"/>
      <c r="C440" s="2"/>
      <c r="D440" s="2"/>
      <c r="E440" s="2"/>
      <c r="F440" s="2"/>
      <c r="G440" s="2"/>
      <c r="H440" s="22"/>
      <c r="I440" s="22"/>
      <c r="J440" s="22"/>
      <c r="K440" s="22"/>
      <c r="L440" s="2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28"/>
      <c r="B441" s="2"/>
      <c r="C441" s="2"/>
      <c r="D441" s="2"/>
      <c r="E441" s="2"/>
      <c r="F441" s="2"/>
      <c r="G441" s="2"/>
      <c r="H441" s="22"/>
      <c r="I441" s="22"/>
      <c r="J441" s="22"/>
      <c r="K441" s="22"/>
      <c r="L441" s="2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28"/>
      <c r="B442" s="2"/>
      <c r="C442" s="2"/>
      <c r="D442" s="2"/>
      <c r="E442" s="2"/>
      <c r="F442" s="2"/>
      <c r="G442" s="2"/>
      <c r="H442" s="22"/>
      <c r="I442" s="22"/>
      <c r="J442" s="22"/>
      <c r="K442" s="22"/>
      <c r="L442" s="2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28"/>
      <c r="B443" s="2"/>
      <c r="C443" s="2"/>
      <c r="D443" s="2"/>
      <c r="E443" s="2"/>
      <c r="F443" s="2"/>
      <c r="G443" s="2"/>
      <c r="H443" s="22"/>
      <c r="I443" s="22"/>
      <c r="J443" s="22"/>
      <c r="K443" s="22"/>
      <c r="L443" s="2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28"/>
      <c r="B444" s="2"/>
      <c r="C444" s="2"/>
      <c r="D444" s="2"/>
      <c r="E444" s="2"/>
      <c r="F444" s="2"/>
      <c r="G444" s="2"/>
      <c r="H444" s="22"/>
      <c r="I444" s="22"/>
      <c r="J444" s="22"/>
      <c r="K444" s="22"/>
      <c r="L444" s="2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28"/>
      <c r="B445" s="2"/>
      <c r="C445" s="2"/>
      <c r="D445" s="2"/>
      <c r="E445" s="2"/>
      <c r="F445" s="2"/>
      <c r="G445" s="2"/>
      <c r="H445" s="22"/>
      <c r="I445" s="22"/>
      <c r="J445" s="22"/>
      <c r="K445" s="22"/>
      <c r="L445" s="2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28"/>
      <c r="B446" s="2"/>
      <c r="C446" s="2"/>
      <c r="D446" s="2"/>
      <c r="E446" s="2"/>
      <c r="F446" s="2"/>
      <c r="G446" s="2"/>
      <c r="H446" s="22"/>
      <c r="I446" s="22"/>
      <c r="J446" s="22"/>
      <c r="K446" s="22"/>
      <c r="L446" s="2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28"/>
      <c r="B447" s="2"/>
      <c r="C447" s="2"/>
      <c r="D447" s="2"/>
      <c r="E447" s="2"/>
      <c r="F447" s="2"/>
      <c r="G447" s="2"/>
      <c r="H447" s="22"/>
      <c r="I447" s="22"/>
      <c r="J447" s="22"/>
      <c r="K447" s="22"/>
      <c r="L447" s="2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28"/>
      <c r="B448" s="2"/>
      <c r="C448" s="2"/>
      <c r="D448" s="2"/>
      <c r="E448" s="2"/>
      <c r="F448" s="2"/>
      <c r="G448" s="2"/>
      <c r="H448" s="22"/>
      <c r="I448" s="22"/>
      <c r="J448" s="22"/>
      <c r="K448" s="22"/>
      <c r="L448" s="2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28"/>
      <c r="B449" s="2"/>
      <c r="C449" s="2"/>
      <c r="D449" s="2"/>
      <c r="E449" s="2"/>
      <c r="F449" s="2"/>
      <c r="G449" s="2"/>
      <c r="H449" s="22"/>
      <c r="I449" s="22"/>
      <c r="J449" s="22"/>
      <c r="K449" s="22"/>
      <c r="L449" s="2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28"/>
      <c r="B450" s="2"/>
      <c r="C450" s="2"/>
      <c r="D450" s="2"/>
      <c r="E450" s="2"/>
      <c r="F450" s="2"/>
      <c r="G450" s="2"/>
      <c r="H450" s="22"/>
      <c r="I450" s="22"/>
      <c r="J450" s="22"/>
      <c r="K450" s="22"/>
      <c r="L450" s="2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28"/>
      <c r="B451" s="2"/>
      <c r="C451" s="2"/>
      <c r="D451" s="2"/>
      <c r="E451" s="2"/>
      <c r="F451" s="2"/>
      <c r="G451" s="2"/>
      <c r="H451" s="22"/>
      <c r="I451" s="22"/>
      <c r="J451" s="22"/>
      <c r="K451" s="22"/>
      <c r="L451" s="2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28"/>
      <c r="B452" s="2"/>
      <c r="C452" s="2"/>
      <c r="D452" s="2"/>
      <c r="E452" s="2"/>
      <c r="F452" s="2"/>
      <c r="G452" s="2"/>
      <c r="H452" s="22"/>
      <c r="I452" s="22"/>
      <c r="J452" s="22"/>
      <c r="K452" s="22"/>
      <c r="L452" s="2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28"/>
      <c r="B453" s="2"/>
      <c r="C453" s="2"/>
      <c r="D453" s="2"/>
      <c r="E453" s="2"/>
      <c r="F453" s="2"/>
      <c r="G453" s="2"/>
      <c r="H453" s="22"/>
      <c r="I453" s="22"/>
      <c r="J453" s="22"/>
      <c r="K453" s="22"/>
      <c r="L453" s="2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28"/>
      <c r="B454" s="2"/>
      <c r="C454" s="2"/>
      <c r="D454" s="2"/>
      <c r="E454" s="2"/>
      <c r="F454" s="2"/>
      <c r="G454" s="2"/>
      <c r="H454" s="22"/>
      <c r="I454" s="22"/>
      <c r="J454" s="22"/>
      <c r="K454" s="22"/>
      <c r="L454" s="2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28"/>
      <c r="B455" s="2"/>
      <c r="C455" s="2"/>
      <c r="D455" s="2"/>
      <c r="E455" s="2"/>
      <c r="F455" s="2"/>
      <c r="G455" s="2"/>
      <c r="H455" s="22"/>
      <c r="I455" s="22"/>
      <c r="J455" s="22"/>
      <c r="K455" s="22"/>
      <c r="L455" s="2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28"/>
      <c r="B456" s="2"/>
      <c r="C456" s="2"/>
      <c r="D456" s="2"/>
      <c r="E456" s="2"/>
      <c r="F456" s="2"/>
      <c r="G456" s="2"/>
      <c r="H456" s="22"/>
      <c r="I456" s="22"/>
      <c r="J456" s="22"/>
      <c r="K456" s="22"/>
      <c r="L456" s="2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28"/>
      <c r="B457" s="2"/>
      <c r="C457" s="2"/>
      <c r="D457" s="2"/>
      <c r="E457" s="2"/>
      <c r="F457" s="2"/>
      <c r="G457" s="2"/>
      <c r="H457" s="22"/>
      <c r="I457" s="22"/>
      <c r="J457" s="22"/>
      <c r="K457" s="22"/>
      <c r="L457" s="2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28"/>
      <c r="B458" s="2"/>
      <c r="C458" s="2"/>
      <c r="D458" s="2"/>
      <c r="E458" s="2"/>
      <c r="F458" s="2"/>
      <c r="G458" s="2"/>
      <c r="H458" s="22"/>
      <c r="I458" s="22"/>
      <c r="J458" s="22"/>
      <c r="K458" s="22"/>
      <c r="L458" s="2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28"/>
      <c r="B459" s="2"/>
      <c r="C459" s="2"/>
      <c r="D459" s="2"/>
      <c r="E459" s="2"/>
      <c r="F459" s="2"/>
      <c r="G459" s="2"/>
      <c r="H459" s="22"/>
      <c r="I459" s="22"/>
      <c r="J459" s="22"/>
      <c r="K459" s="22"/>
      <c r="L459" s="2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28"/>
      <c r="B460" s="2"/>
      <c r="C460" s="2"/>
      <c r="D460" s="2"/>
      <c r="E460" s="2"/>
      <c r="F460" s="2"/>
      <c r="G460" s="2"/>
      <c r="H460" s="22"/>
      <c r="I460" s="22"/>
      <c r="J460" s="22"/>
      <c r="K460" s="22"/>
      <c r="L460" s="2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28"/>
      <c r="B461" s="2"/>
      <c r="C461" s="2"/>
      <c r="D461" s="2"/>
      <c r="E461" s="2"/>
      <c r="F461" s="2"/>
      <c r="G461" s="2"/>
      <c r="H461" s="22"/>
      <c r="I461" s="22"/>
      <c r="J461" s="22"/>
      <c r="K461" s="22"/>
      <c r="L461" s="2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28"/>
      <c r="B462" s="2"/>
      <c r="C462" s="2"/>
      <c r="D462" s="2"/>
      <c r="E462" s="2"/>
      <c r="F462" s="2"/>
      <c r="G462" s="2"/>
      <c r="H462" s="22"/>
      <c r="I462" s="22"/>
      <c r="J462" s="22"/>
      <c r="K462" s="22"/>
      <c r="L462" s="2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28"/>
      <c r="B463" s="2"/>
      <c r="C463" s="2"/>
      <c r="D463" s="2"/>
      <c r="E463" s="2"/>
      <c r="F463" s="2"/>
      <c r="G463" s="2"/>
      <c r="H463" s="22"/>
      <c r="I463" s="22"/>
      <c r="J463" s="22"/>
      <c r="K463" s="22"/>
      <c r="L463" s="2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28"/>
      <c r="B464" s="2"/>
      <c r="C464" s="2"/>
      <c r="D464" s="2"/>
      <c r="E464" s="2"/>
      <c r="F464" s="2"/>
      <c r="G464" s="2"/>
      <c r="H464" s="22"/>
      <c r="I464" s="22"/>
      <c r="J464" s="22"/>
      <c r="K464" s="22"/>
      <c r="L464" s="2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28"/>
      <c r="B465" s="2"/>
      <c r="C465" s="2"/>
      <c r="D465" s="2"/>
      <c r="E465" s="2"/>
      <c r="F465" s="2"/>
      <c r="G465" s="2"/>
      <c r="H465" s="22"/>
      <c r="I465" s="22"/>
      <c r="J465" s="22"/>
      <c r="K465" s="22"/>
      <c r="L465" s="2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28"/>
      <c r="B466" s="2"/>
      <c r="C466" s="2"/>
      <c r="D466" s="2"/>
      <c r="E466" s="2"/>
      <c r="F466" s="2"/>
      <c r="G466" s="2"/>
      <c r="H466" s="22"/>
      <c r="I466" s="22"/>
      <c r="J466" s="22"/>
      <c r="K466" s="22"/>
      <c r="L466" s="2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28"/>
      <c r="B467" s="2"/>
      <c r="C467" s="2"/>
      <c r="D467" s="2"/>
      <c r="E467" s="2"/>
      <c r="F467" s="2"/>
      <c r="G467" s="2"/>
      <c r="H467" s="22"/>
      <c r="I467" s="22"/>
      <c r="J467" s="22"/>
      <c r="K467" s="22"/>
      <c r="L467" s="2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28"/>
      <c r="B468" s="2"/>
      <c r="C468" s="2"/>
      <c r="D468" s="2"/>
      <c r="E468" s="2"/>
      <c r="F468" s="2"/>
      <c r="G468" s="2"/>
      <c r="H468" s="22"/>
      <c r="I468" s="22"/>
      <c r="J468" s="22"/>
      <c r="K468" s="22"/>
      <c r="L468" s="2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28"/>
      <c r="B469" s="2"/>
      <c r="C469" s="2"/>
      <c r="D469" s="2"/>
      <c r="E469" s="2"/>
      <c r="F469" s="2"/>
      <c r="G469" s="2"/>
      <c r="H469" s="22"/>
      <c r="I469" s="22"/>
      <c r="J469" s="22"/>
      <c r="K469" s="22"/>
      <c r="L469" s="2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28"/>
      <c r="B470" s="2"/>
      <c r="C470" s="2"/>
      <c r="D470" s="2"/>
      <c r="E470" s="2"/>
      <c r="F470" s="2"/>
      <c r="G470" s="2"/>
      <c r="H470" s="22"/>
      <c r="I470" s="22"/>
      <c r="J470" s="22"/>
      <c r="K470" s="22"/>
      <c r="L470" s="2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28"/>
      <c r="B471" s="2"/>
      <c r="C471" s="2"/>
      <c r="D471" s="2"/>
      <c r="E471" s="2"/>
      <c r="F471" s="2"/>
      <c r="G471" s="2"/>
      <c r="H471" s="22"/>
      <c r="I471" s="22"/>
      <c r="J471" s="22"/>
      <c r="K471" s="22"/>
      <c r="L471" s="2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28"/>
      <c r="B472" s="2"/>
      <c r="C472" s="2"/>
      <c r="D472" s="2"/>
      <c r="E472" s="2"/>
      <c r="F472" s="2"/>
      <c r="G472" s="2"/>
      <c r="H472" s="22"/>
      <c r="I472" s="22"/>
      <c r="J472" s="22"/>
      <c r="K472" s="22"/>
      <c r="L472" s="2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28"/>
      <c r="B473" s="2"/>
      <c r="C473" s="2"/>
      <c r="D473" s="2"/>
      <c r="E473" s="2"/>
      <c r="F473" s="2"/>
      <c r="G473" s="2"/>
      <c r="H473" s="22"/>
      <c r="I473" s="22"/>
      <c r="J473" s="22"/>
      <c r="K473" s="22"/>
      <c r="L473" s="2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28"/>
      <c r="B474" s="2"/>
      <c r="C474" s="2"/>
      <c r="D474" s="2"/>
      <c r="E474" s="2"/>
      <c r="F474" s="2"/>
      <c r="G474" s="2"/>
      <c r="H474" s="22"/>
      <c r="I474" s="22"/>
      <c r="J474" s="22"/>
      <c r="K474" s="22"/>
      <c r="L474" s="2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28"/>
      <c r="B475" s="2"/>
      <c r="C475" s="2"/>
      <c r="D475" s="2"/>
      <c r="E475" s="2"/>
      <c r="F475" s="2"/>
      <c r="G475" s="2"/>
      <c r="H475" s="22"/>
      <c r="I475" s="22"/>
      <c r="J475" s="22"/>
      <c r="K475" s="22"/>
      <c r="L475" s="2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28"/>
      <c r="B476" s="2"/>
      <c r="C476" s="2"/>
      <c r="D476" s="2"/>
      <c r="E476" s="2"/>
      <c r="F476" s="2"/>
      <c r="G476" s="2"/>
      <c r="H476" s="22"/>
      <c r="I476" s="22"/>
      <c r="J476" s="22"/>
      <c r="K476" s="22"/>
      <c r="L476" s="2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28"/>
      <c r="B477" s="2"/>
      <c r="C477" s="2"/>
      <c r="D477" s="2"/>
      <c r="E477" s="2"/>
      <c r="F477" s="2"/>
      <c r="G477" s="2"/>
      <c r="H477" s="22"/>
      <c r="I477" s="22"/>
      <c r="J477" s="22"/>
      <c r="K477" s="22"/>
      <c r="L477" s="2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28"/>
      <c r="B478" s="2"/>
      <c r="C478" s="2"/>
      <c r="D478" s="2"/>
      <c r="E478" s="2"/>
      <c r="F478" s="2"/>
      <c r="G478" s="2"/>
      <c r="H478" s="22"/>
      <c r="I478" s="22"/>
      <c r="J478" s="22"/>
      <c r="K478" s="22"/>
      <c r="L478" s="2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28"/>
      <c r="B479" s="2"/>
      <c r="C479" s="2"/>
      <c r="D479" s="2"/>
      <c r="E479" s="2"/>
      <c r="F479" s="2"/>
      <c r="G479" s="2"/>
      <c r="H479" s="22"/>
      <c r="I479" s="22"/>
      <c r="J479" s="22"/>
      <c r="K479" s="22"/>
      <c r="L479" s="2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28"/>
      <c r="B480" s="2"/>
      <c r="C480" s="2"/>
      <c r="D480" s="2"/>
      <c r="E480" s="2"/>
      <c r="F480" s="2"/>
      <c r="G480" s="2"/>
      <c r="H480" s="22"/>
      <c r="I480" s="22"/>
      <c r="J480" s="22"/>
      <c r="K480" s="22"/>
      <c r="L480" s="2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28"/>
      <c r="B481" s="2"/>
      <c r="C481" s="2"/>
      <c r="D481" s="2"/>
      <c r="E481" s="2"/>
      <c r="F481" s="2"/>
      <c r="G481" s="2"/>
      <c r="H481" s="22"/>
      <c r="I481" s="22"/>
      <c r="J481" s="22"/>
      <c r="K481" s="22"/>
      <c r="L481" s="2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28"/>
      <c r="B482" s="2"/>
      <c r="C482" s="2"/>
      <c r="D482" s="2"/>
      <c r="E482" s="2"/>
      <c r="F482" s="2"/>
      <c r="G482" s="2"/>
      <c r="H482" s="22"/>
      <c r="I482" s="22"/>
      <c r="J482" s="22"/>
      <c r="K482" s="22"/>
      <c r="L482" s="2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28"/>
      <c r="B483" s="2"/>
      <c r="C483" s="2"/>
      <c r="D483" s="2"/>
      <c r="E483" s="2"/>
      <c r="F483" s="2"/>
      <c r="G483" s="2"/>
      <c r="H483" s="22"/>
      <c r="I483" s="22"/>
      <c r="J483" s="22"/>
      <c r="K483" s="22"/>
      <c r="L483" s="2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28"/>
      <c r="B484" s="2"/>
      <c r="C484" s="2"/>
      <c r="D484" s="2"/>
      <c r="E484" s="2"/>
      <c r="F484" s="2"/>
      <c r="G484" s="2"/>
      <c r="H484" s="22"/>
      <c r="I484" s="22"/>
      <c r="J484" s="22"/>
      <c r="K484" s="22"/>
      <c r="L484" s="2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28"/>
      <c r="B485" s="2"/>
      <c r="C485" s="2"/>
      <c r="D485" s="2"/>
      <c r="E485" s="2"/>
      <c r="F485" s="2"/>
      <c r="G485" s="2"/>
      <c r="H485" s="22"/>
      <c r="I485" s="22"/>
      <c r="J485" s="22"/>
      <c r="K485" s="22"/>
      <c r="L485" s="2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28"/>
      <c r="B486" s="2"/>
      <c r="C486" s="2"/>
      <c r="D486" s="2"/>
      <c r="E486" s="2"/>
      <c r="F486" s="2"/>
      <c r="G486" s="2"/>
      <c r="H486" s="22"/>
      <c r="I486" s="22"/>
      <c r="J486" s="22"/>
      <c r="K486" s="22"/>
      <c r="L486" s="2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28"/>
      <c r="B487" s="2"/>
      <c r="C487" s="2"/>
      <c r="D487" s="2"/>
      <c r="E487" s="2"/>
      <c r="F487" s="2"/>
      <c r="G487" s="2"/>
      <c r="H487" s="22"/>
      <c r="I487" s="22"/>
      <c r="J487" s="22"/>
      <c r="K487" s="22"/>
      <c r="L487" s="2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28"/>
      <c r="B488" s="2"/>
      <c r="C488" s="2"/>
      <c r="D488" s="2"/>
      <c r="E488" s="2"/>
      <c r="F488" s="2"/>
      <c r="G488" s="2"/>
      <c r="H488" s="22"/>
      <c r="I488" s="22"/>
      <c r="J488" s="22"/>
      <c r="K488" s="22"/>
      <c r="L488" s="2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28"/>
      <c r="B489" s="2"/>
      <c r="C489" s="2"/>
      <c r="D489" s="2"/>
      <c r="E489" s="2"/>
      <c r="F489" s="2"/>
      <c r="G489" s="2"/>
      <c r="H489" s="22"/>
      <c r="I489" s="22"/>
      <c r="J489" s="22"/>
      <c r="K489" s="22"/>
      <c r="L489" s="2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28"/>
      <c r="B490" s="2"/>
      <c r="C490" s="2"/>
      <c r="D490" s="2"/>
      <c r="E490" s="2"/>
      <c r="F490" s="2"/>
      <c r="G490" s="2"/>
      <c r="H490" s="22"/>
      <c r="I490" s="22"/>
      <c r="J490" s="22"/>
      <c r="K490" s="22"/>
      <c r="L490" s="2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28"/>
      <c r="B491" s="2"/>
      <c r="C491" s="2"/>
      <c r="D491" s="2"/>
      <c r="E491" s="2"/>
      <c r="F491" s="2"/>
      <c r="G491" s="2"/>
      <c r="H491" s="22"/>
      <c r="I491" s="22"/>
      <c r="J491" s="22"/>
      <c r="K491" s="22"/>
      <c r="L491" s="2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28"/>
      <c r="B492" s="2"/>
      <c r="C492" s="2"/>
      <c r="D492" s="2"/>
      <c r="E492" s="2"/>
      <c r="F492" s="2"/>
      <c r="G492" s="2"/>
      <c r="H492" s="22"/>
      <c r="I492" s="22"/>
      <c r="J492" s="22"/>
      <c r="K492" s="22"/>
      <c r="L492" s="2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28"/>
      <c r="B493" s="2"/>
      <c r="C493" s="2"/>
      <c r="D493" s="2"/>
      <c r="E493" s="2"/>
      <c r="F493" s="2"/>
      <c r="G493" s="2"/>
      <c r="H493" s="22"/>
      <c r="I493" s="22"/>
      <c r="J493" s="22"/>
      <c r="K493" s="22"/>
      <c r="L493" s="2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28"/>
      <c r="B494" s="2"/>
      <c r="C494" s="2"/>
      <c r="D494" s="2"/>
      <c r="E494" s="2"/>
      <c r="F494" s="2"/>
      <c r="G494" s="2"/>
      <c r="H494" s="22"/>
      <c r="I494" s="22"/>
      <c r="J494" s="22"/>
      <c r="K494" s="22"/>
      <c r="L494" s="2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28"/>
      <c r="B495" s="2"/>
      <c r="C495" s="2"/>
      <c r="D495" s="2"/>
      <c r="E495" s="2"/>
      <c r="F495" s="2"/>
      <c r="G495" s="2"/>
      <c r="H495" s="22"/>
      <c r="I495" s="22"/>
      <c r="J495" s="22"/>
      <c r="K495" s="22"/>
      <c r="L495" s="2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28"/>
      <c r="B496" s="2"/>
      <c r="C496" s="2"/>
      <c r="D496" s="2"/>
      <c r="E496" s="2"/>
      <c r="F496" s="2"/>
      <c r="G496" s="2"/>
      <c r="H496" s="22"/>
      <c r="I496" s="22"/>
      <c r="J496" s="22"/>
      <c r="K496" s="22"/>
      <c r="L496" s="2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28"/>
      <c r="B497" s="2"/>
      <c r="C497" s="2"/>
      <c r="D497" s="2"/>
      <c r="E497" s="2"/>
      <c r="F497" s="2"/>
      <c r="G497" s="2"/>
      <c r="H497" s="22"/>
      <c r="I497" s="22"/>
      <c r="J497" s="22"/>
      <c r="K497" s="22"/>
      <c r="L497" s="2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28"/>
      <c r="B498" s="2"/>
      <c r="C498" s="2"/>
      <c r="D498" s="2"/>
      <c r="E498" s="2"/>
      <c r="F498" s="2"/>
      <c r="G498" s="2"/>
      <c r="H498" s="22"/>
      <c r="I498" s="22"/>
      <c r="J498" s="22"/>
      <c r="K498" s="22"/>
      <c r="L498" s="2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28"/>
      <c r="B499" s="2"/>
      <c r="C499" s="2"/>
      <c r="D499" s="2"/>
      <c r="E499" s="2"/>
      <c r="F499" s="2"/>
      <c r="G499" s="2"/>
      <c r="H499" s="22"/>
      <c r="I499" s="22"/>
      <c r="J499" s="22"/>
      <c r="K499" s="22"/>
      <c r="L499" s="2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28"/>
      <c r="B500" s="2"/>
      <c r="C500" s="2"/>
      <c r="D500" s="2"/>
      <c r="E500" s="2"/>
      <c r="F500" s="2"/>
      <c r="G500" s="2"/>
      <c r="H500" s="22"/>
      <c r="I500" s="22"/>
      <c r="J500" s="22"/>
      <c r="K500" s="22"/>
      <c r="L500" s="2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28"/>
      <c r="B501" s="2"/>
      <c r="C501" s="2"/>
      <c r="D501" s="2"/>
      <c r="E501" s="2"/>
      <c r="F501" s="2"/>
      <c r="G501" s="2"/>
      <c r="H501" s="22"/>
      <c r="I501" s="22"/>
      <c r="J501" s="22"/>
      <c r="K501" s="22"/>
      <c r="L501" s="2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28"/>
      <c r="B502" s="2"/>
      <c r="C502" s="2"/>
      <c r="D502" s="2"/>
      <c r="E502" s="2"/>
      <c r="F502" s="2"/>
      <c r="G502" s="2"/>
      <c r="H502" s="22"/>
      <c r="I502" s="22"/>
      <c r="J502" s="22"/>
      <c r="K502" s="22"/>
      <c r="L502" s="2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28"/>
      <c r="B503" s="2"/>
      <c r="C503" s="2"/>
      <c r="D503" s="2"/>
      <c r="E503" s="2"/>
      <c r="F503" s="2"/>
      <c r="G503" s="2"/>
      <c r="H503" s="22"/>
      <c r="I503" s="22"/>
      <c r="J503" s="22"/>
      <c r="K503" s="22"/>
      <c r="L503" s="2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28"/>
      <c r="B504" s="2"/>
      <c r="C504" s="2"/>
      <c r="D504" s="2"/>
      <c r="E504" s="2"/>
      <c r="F504" s="2"/>
      <c r="G504" s="2"/>
      <c r="H504" s="22"/>
      <c r="I504" s="22"/>
      <c r="J504" s="22"/>
      <c r="K504" s="22"/>
      <c r="L504" s="2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28"/>
      <c r="B505" s="2"/>
      <c r="C505" s="2"/>
      <c r="D505" s="2"/>
      <c r="E505" s="2"/>
      <c r="F505" s="2"/>
      <c r="G505" s="2"/>
      <c r="H505" s="22"/>
      <c r="I505" s="22"/>
      <c r="J505" s="22"/>
      <c r="K505" s="22"/>
      <c r="L505" s="2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28"/>
      <c r="B506" s="2"/>
      <c r="C506" s="2"/>
      <c r="D506" s="2"/>
      <c r="E506" s="2"/>
      <c r="F506" s="2"/>
      <c r="G506" s="2"/>
      <c r="H506" s="22"/>
      <c r="I506" s="22"/>
      <c r="J506" s="22"/>
      <c r="K506" s="22"/>
      <c r="L506" s="2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28"/>
      <c r="B507" s="2"/>
      <c r="C507" s="2"/>
      <c r="D507" s="2"/>
      <c r="E507" s="2"/>
      <c r="F507" s="2"/>
      <c r="G507" s="2"/>
      <c r="H507" s="22"/>
      <c r="I507" s="22"/>
      <c r="J507" s="22"/>
      <c r="K507" s="22"/>
      <c r="L507" s="2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28"/>
      <c r="B508" s="2"/>
      <c r="C508" s="2"/>
      <c r="D508" s="2"/>
      <c r="E508" s="2"/>
      <c r="F508" s="2"/>
      <c r="G508" s="2"/>
      <c r="H508" s="22"/>
      <c r="I508" s="22"/>
      <c r="J508" s="22"/>
      <c r="K508" s="22"/>
      <c r="L508" s="2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28"/>
      <c r="B509" s="2"/>
      <c r="C509" s="2"/>
      <c r="D509" s="2"/>
      <c r="E509" s="2"/>
      <c r="F509" s="2"/>
      <c r="G509" s="2"/>
      <c r="H509" s="22"/>
      <c r="I509" s="22"/>
      <c r="J509" s="22"/>
      <c r="K509" s="22"/>
      <c r="L509" s="2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28"/>
      <c r="B510" s="2"/>
      <c r="C510" s="2"/>
      <c r="D510" s="2"/>
      <c r="E510" s="2"/>
      <c r="F510" s="2"/>
      <c r="G510" s="2"/>
      <c r="H510" s="22"/>
      <c r="I510" s="22"/>
      <c r="J510" s="22"/>
      <c r="K510" s="22"/>
      <c r="L510" s="2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28"/>
      <c r="B511" s="2"/>
      <c r="C511" s="2"/>
      <c r="D511" s="2"/>
      <c r="E511" s="2"/>
      <c r="F511" s="2"/>
      <c r="G511" s="2"/>
      <c r="H511" s="22"/>
      <c r="I511" s="22"/>
      <c r="J511" s="22"/>
      <c r="K511" s="22"/>
      <c r="L511" s="2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28"/>
      <c r="B512" s="2"/>
      <c r="C512" s="2"/>
      <c r="D512" s="2"/>
      <c r="E512" s="2"/>
      <c r="F512" s="2"/>
      <c r="G512" s="2"/>
      <c r="H512" s="22"/>
      <c r="I512" s="22"/>
      <c r="J512" s="22"/>
      <c r="K512" s="22"/>
      <c r="L512" s="2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28"/>
      <c r="B513" s="2"/>
      <c r="C513" s="2"/>
      <c r="D513" s="2"/>
      <c r="E513" s="2"/>
      <c r="F513" s="2"/>
      <c r="G513" s="2"/>
      <c r="H513" s="22"/>
      <c r="I513" s="22"/>
      <c r="J513" s="22"/>
      <c r="K513" s="22"/>
      <c r="L513" s="2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28"/>
      <c r="B514" s="2"/>
      <c r="C514" s="2"/>
      <c r="D514" s="2"/>
      <c r="E514" s="2"/>
      <c r="F514" s="2"/>
      <c r="G514" s="2"/>
      <c r="H514" s="22"/>
      <c r="I514" s="22"/>
      <c r="J514" s="22"/>
      <c r="K514" s="22"/>
      <c r="L514" s="2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28"/>
      <c r="B515" s="2"/>
      <c r="C515" s="2"/>
      <c r="D515" s="2"/>
      <c r="E515" s="2"/>
      <c r="F515" s="2"/>
      <c r="G515" s="2"/>
      <c r="H515" s="22"/>
      <c r="I515" s="22"/>
      <c r="J515" s="22"/>
      <c r="K515" s="22"/>
      <c r="L515" s="2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28"/>
      <c r="B516" s="2"/>
      <c r="C516" s="2"/>
      <c r="D516" s="2"/>
      <c r="E516" s="2"/>
      <c r="F516" s="2"/>
      <c r="G516" s="2"/>
      <c r="H516" s="22"/>
      <c r="I516" s="22"/>
      <c r="J516" s="22"/>
      <c r="K516" s="22"/>
      <c r="L516" s="2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28"/>
      <c r="B517" s="2"/>
      <c r="C517" s="2"/>
      <c r="D517" s="2"/>
      <c r="E517" s="2"/>
      <c r="F517" s="2"/>
      <c r="G517" s="2"/>
      <c r="H517" s="22"/>
      <c r="I517" s="22"/>
      <c r="J517" s="22"/>
      <c r="K517" s="22"/>
      <c r="L517" s="2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28"/>
      <c r="B518" s="2"/>
      <c r="C518" s="2"/>
      <c r="D518" s="2"/>
      <c r="E518" s="2"/>
      <c r="F518" s="2"/>
      <c r="G518" s="2"/>
      <c r="H518" s="22"/>
      <c r="I518" s="22"/>
      <c r="J518" s="22"/>
      <c r="K518" s="22"/>
      <c r="L518" s="2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28"/>
      <c r="B519" s="2"/>
      <c r="C519" s="2"/>
      <c r="D519" s="2"/>
      <c r="E519" s="2"/>
      <c r="F519" s="2"/>
      <c r="G519" s="2"/>
      <c r="H519" s="22"/>
      <c r="I519" s="22"/>
      <c r="J519" s="22"/>
      <c r="K519" s="22"/>
      <c r="L519" s="2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28"/>
      <c r="B520" s="2"/>
      <c r="C520" s="2"/>
      <c r="D520" s="2"/>
      <c r="E520" s="2"/>
      <c r="F520" s="2"/>
      <c r="G520" s="2"/>
      <c r="H520" s="22"/>
      <c r="I520" s="22"/>
      <c r="J520" s="22"/>
      <c r="K520" s="22"/>
      <c r="L520" s="2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28"/>
      <c r="B521" s="2"/>
      <c r="C521" s="2"/>
      <c r="D521" s="2"/>
      <c r="E521" s="2"/>
      <c r="F521" s="2"/>
      <c r="G521" s="2"/>
      <c r="H521" s="22"/>
      <c r="I521" s="22"/>
      <c r="J521" s="22"/>
      <c r="K521" s="22"/>
      <c r="L521" s="2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28"/>
      <c r="B522" s="2"/>
      <c r="C522" s="2"/>
      <c r="D522" s="2"/>
      <c r="E522" s="2"/>
      <c r="F522" s="2"/>
      <c r="G522" s="2"/>
      <c r="H522" s="22"/>
      <c r="I522" s="22"/>
      <c r="J522" s="22"/>
      <c r="K522" s="22"/>
      <c r="L522" s="2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28"/>
      <c r="B523" s="2"/>
      <c r="C523" s="2"/>
      <c r="D523" s="2"/>
      <c r="E523" s="2"/>
      <c r="F523" s="2"/>
      <c r="G523" s="2"/>
      <c r="H523" s="22"/>
      <c r="I523" s="22"/>
      <c r="J523" s="22"/>
      <c r="K523" s="22"/>
      <c r="L523" s="2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28"/>
      <c r="B524" s="2"/>
      <c r="C524" s="2"/>
      <c r="D524" s="2"/>
      <c r="E524" s="2"/>
      <c r="F524" s="2"/>
      <c r="G524" s="2"/>
      <c r="H524" s="22"/>
      <c r="I524" s="22"/>
      <c r="J524" s="22"/>
      <c r="K524" s="22"/>
      <c r="L524" s="2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28"/>
      <c r="B525" s="2"/>
      <c r="C525" s="2"/>
      <c r="D525" s="2"/>
      <c r="E525" s="2"/>
      <c r="F525" s="2"/>
      <c r="G525" s="2"/>
      <c r="H525" s="22"/>
      <c r="I525" s="22"/>
      <c r="J525" s="22"/>
      <c r="K525" s="22"/>
      <c r="L525" s="2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28"/>
      <c r="B526" s="2"/>
      <c r="C526" s="2"/>
      <c r="D526" s="2"/>
      <c r="E526" s="2"/>
      <c r="F526" s="2"/>
      <c r="G526" s="2"/>
      <c r="H526" s="22"/>
      <c r="I526" s="22"/>
      <c r="J526" s="22"/>
      <c r="K526" s="22"/>
      <c r="L526" s="2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28"/>
      <c r="B527" s="2"/>
      <c r="C527" s="2"/>
      <c r="D527" s="2"/>
      <c r="E527" s="2"/>
      <c r="F527" s="2"/>
      <c r="G527" s="2"/>
      <c r="H527" s="22"/>
      <c r="I527" s="22"/>
      <c r="J527" s="22"/>
      <c r="K527" s="22"/>
      <c r="L527" s="2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28"/>
      <c r="B528" s="2"/>
      <c r="C528" s="2"/>
      <c r="D528" s="2"/>
      <c r="E528" s="2"/>
      <c r="F528" s="2"/>
      <c r="G528" s="2"/>
      <c r="H528" s="22"/>
      <c r="I528" s="22"/>
      <c r="J528" s="22"/>
      <c r="K528" s="22"/>
      <c r="L528" s="2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28"/>
      <c r="B529" s="2"/>
      <c r="C529" s="2"/>
      <c r="D529" s="2"/>
      <c r="E529" s="2"/>
      <c r="F529" s="2"/>
      <c r="G529" s="2"/>
      <c r="H529" s="22"/>
      <c r="I529" s="22"/>
      <c r="J529" s="22"/>
      <c r="K529" s="22"/>
      <c r="L529" s="2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28"/>
      <c r="B530" s="2"/>
      <c r="C530" s="2"/>
      <c r="D530" s="2"/>
      <c r="E530" s="2"/>
      <c r="F530" s="2"/>
      <c r="G530" s="2"/>
      <c r="H530" s="22"/>
      <c r="I530" s="22"/>
      <c r="J530" s="22"/>
      <c r="K530" s="22"/>
      <c r="L530" s="2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28"/>
      <c r="B531" s="2"/>
      <c r="C531" s="2"/>
      <c r="D531" s="2"/>
      <c r="E531" s="2"/>
      <c r="F531" s="2"/>
      <c r="G531" s="2"/>
      <c r="H531" s="22"/>
      <c r="I531" s="22"/>
      <c r="J531" s="22"/>
      <c r="K531" s="22"/>
      <c r="L531" s="2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28"/>
      <c r="B532" s="2"/>
      <c r="C532" s="2"/>
      <c r="D532" s="2"/>
      <c r="E532" s="2"/>
      <c r="F532" s="2"/>
      <c r="G532" s="2"/>
      <c r="H532" s="22"/>
      <c r="I532" s="22"/>
      <c r="J532" s="22"/>
      <c r="K532" s="22"/>
      <c r="L532" s="2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28"/>
      <c r="B533" s="2"/>
      <c r="C533" s="2"/>
      <c r="D533" s="2"/>
      <c r="E533" s="2"/>
      <c r="F533" s="2"/>
      <c r="G533" s="2"/>
      <c r="H533" s="22"/>
      <c r="I533" s="22"/>
      <c r="J533" s="22"/>
      <c r="K533" s="22"/>
      <c r="L533" s="2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28"/>
      <c r="B534" s="2"/>
      <c r="C534" s="2"/>
      <c r="D534" s="2"/>
      <c r="E534" s="2"/>
      <c r="F534" s="2"/>
      <c r="G534" s="2"/>
      <c r="H534" s="22"/>
      <c r="I534" s="22"/>
      <c r="J534" s="22"/>
      <c r="K534" s="22"/>
      <c r="L534" s="2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28"/>
      <c r="B535" s="2"/>
      <c r="C535" s="2"/>
      <c r="D535" s="2"/>
      <c r="E535" s="2"/>
      <c r="F535" s="2"/>
      <c r="G535" s="2"/>
      <c r="H535" s="22"/>
      <c r="I535" s="22"/>
      <c r="J535" s="22"/>
      <c r="K535" s="22"/>
      <c r="L535" s="2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28"/>
      <c r="B536" s="2"/>
      <c r="C536" s="2"/>
      <c r="D536" s="2"/>
      <c r="E536" s="2"/>
      <c r="F536" s="2"/>
      <c r="G536" s="2"/>
      <c r="H536" s="22"/>
      <c r="I536" s="22"/>
      <c r="J536" s="22"/>
      <c r="K536" s="22"/>
      <c r="L536" s="2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28"/>
      <c r="B537" s="2"/>
      <c r="C537" s="2"/>
      <c r="D537" s="2"/>
      <c r="E537" s="2"/>
      <c r="F537" s="2"/>
      <c r="G537" s="2"/>
      <c r="H537" s="22"/>
      <c r="I537" s="22"/>
      <c r="J537" s="22"/>
      <c r="K537" s="22"/>
      <c r="L537" s="2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28"/>
      <c r="B538" s="2"/>
      <c r="C538" s="2"/>
      <c r="D538" s="2"/>
      <c r="E538" s="2"/>
      <c r="F538" s="2"/>
      <c r="G538" s="2"/>
      <c r="H538" s="22"/>
      <c r="I538" s="22"/>
      <c r="J538" s="22"/>
      <c r="K538" s="22"/>
      <c r="L538" s="2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28"/>
      <c r="B539" s="2"/>
      <c r="C539" s="2"/>
      <c r="D539" s="2"/>
      <c r="E539" s="2"/>
      <c r="F539" s="2"/>
      <c r="G539" s="2"/>
      <c r="H539" s="22"/>
      <c r="I539" s="22"/>
      <c r="J539" s="22"/>
      <c r="K539" s="22"/>
      <c r="L539" s="2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28"/>
      <c r="B540" s="2"/>
      <c r="C540" s="2"/>
      <c r="D540" s="2"/>
      <c r="E540" s="2"/>
      <c r="F540" s="2"/>
      <c r="G540" s="2"/>
      <c r="H540" s="22"/>
      <c r="I540" s="22"/>
      <c r="J540" s="22"/>
      <c r="K540" s="22"/>
      <c r="L540" s="2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128"/>
      <c r="B541" s="2"/>
      <c r="C541" s="2"/>
      <c r="D541" s="2"/>
      <c r="E541" s="2"/>
      <c r="F541" s="2"/>
      <c r="G541" s="2"/>
      <c r="H541" s="22"/>
      <c r="I541" s="22"/>
      <c r="J541" s="22"/>
      <c r="K541" s="22"/>
      <c r="L541" s="2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28"/>
      <c r="B542" s="2"/>
      <c r="C542" s="2"/>
      <c r="D542" s="2"/>
      <c r="E542" s="2"/>
      <c r="F542" s="2"/>
      <c r="G542" s="2"/>
      <c r="H542" s="22"/>
      <c r="I542" s="22"/>
      <c r="J542" s="22"/>
      <c r="K542" s="22"/>
      <c r="L542" s="2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28"/>
      <c r="B543" s="2"/>
      <c r="C543" s="2"/>
      <c r="D543" s="2"/>
      <c r="E543" s="2"/>
      <c r="F543" s="2"/>
      <c r="G543" s="2"/>
      <c r="H543" s="22"/>
      <c r="I543" s="22"/>
      <c r="J543" s="22"/>
      <c r="K543" s="22"/>
      <c r="L543" s="2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28"/>
      <c r="B544" s="2"/>
      <c r="C544" s="2"/>
      <c r="D544" s="2"/>
      <c r="E544" s="2"/>
      <c r="F544" s="2"/>
      <c r="G544" s="2"/>
      <c r="H544" s="22"/>
      <c r="I544" s="22"/>
      <c r="J544" s="22"/>
      <c r="K544" s="22"/>
      <c r="L544" s="2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28"/>
      <c r="B545" s="2"/>
      <c r="C545" s="2"/>
      <c r="D545" s="2"/>
      <c r="E545" s="2"/>
      <c r="F545" s="2"/>
      <c r="G545" s="2"/>
      <c r="H545" s="22"/>
      <c r="I545" s="22"/>
      <c r="J545" s="22"/>
      <c r="K545" s="22"/>
      <c r="L545" s="2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28"/>
      <c r="B546" s="2"/>
      <c r="C546" s="2"/>
      <c r="D546" s="2"/>
      <c r="E546" s="2"/>
      <c r="F546" s="2"/>
      <c r="G546" s="2"/>
      <c r="H546" s="22"/>
      <c r="I546" s="22"/>
      <c r="J546" s="22"/>
      <c r="K546" s="22"/>
      <c r="L546" s="2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28"/>
      <c r="B547" s="2"/>
      <c r="C547" s="2"/>
      <c r="D547" s="2"/>
      <c r="E547" s="2"/>
      <c r="F547" s="2"/>
      <c r="G547" s="2"/>
      <c r="H547" s="22"/>
      <c r="I547" s="22"/>
      <c r="J547" s="22"/>
      <c r="K547" s="22"/>
      <c r="L547" s="2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28"/>
      <c r="B548" s="2"/>
      <c r="C548" s="2"/>
      <c r="D548" s="2"/>
      <c r="E548" s="2"/>
      <c r="F548" s="2"/>
      <c r="G548" s="2"/>
      <c r="H548" s="22"/>
      <c r="I548" s="22"/>
      <c r="J548" s="22"/>
      <c r="K548" s="22"/>
      <c r="L548" s="2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28"/>
      <c r="B549" s="2"/>
      <c r="C549" s="2"/>
      <c r="D549" s="2"/>
      <c r="E549" s="2"/>
      <c r="F549" s="2"/>
      <c r="G549" s="2"/>
      <c r="H549" s="22"/>
      <c r="I549" s="22"/>
      <c r="J549" s="22"/>
      <c r="K549" s="22"/>
      <c r="L549" s="2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28"/>
      <c r="B550" s="2"/>
      <c r="C550" s="2"/>
      <c r="D550" s="2"/>
      <c r="E550" s="2"/>
      <c r="F550" s="2"/>
      <c r="G550" s="2"/>
      <c r="H550" s="22"/>
      <c r="I550" s="22"/>
      <c r="J550" s="22"/>
      <c r="K550" s="22"/>
      <c r="L550" s="2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28"/>
      <c r="B551" s="2"/>
      <c r="C551" s="2"/>
      <c r="D551" s="2"/>
      <c r="E551" s="2"/>
      <c r="F551" s="2"/>
      <c r="G551" s="2"/>
      <c r="H551" s="22"/>
      <c r="I551" s="22"/>
      <c r="J551" s="22"/>
      <c r="K551" s="22"/>
      <c r="L551" s="2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28"/>
      <c r="B552" s="2"/>
      <c r="C552" s="2"/>
      <c r="D552" s="2"/>
      <c r="E552" s="2"/>
      <c r="F552" s="2"/>
      <c r="G552" s="2"/>
      <c r="H552" s="22"/>
      <c r="I552" s="22"/>
      <c r="J552" s="22"/>
      <c r="K552" s="22"/>
      <c r="L552" s="2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28"/>
      <c r="B553" s="2"/>
      <c r="C553" s="2"/>
      <c r="D553" s="2"/>
      <c r="E553" s="2"/>
      <c r="F553" s="2"/>
      <c r="G553" s="2"/>
      <c r="H553" s="22"/>
      <c r="I553" s="22"/>
      <c r="J553" s="22"/>
      <c r="K553" s="22"/>
      <c r="L553" s="2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28"/>
      <c r="B554" s="2"/>
      <c r="C554" s="2"/>
      <c r="D554" s="2"/>
      <c r="E554" s="2"/>
      <c r="F554" s="2"/>
      <c r="G554" s="2"/>
      <c r="H554" s="22"/>
      <c r="I554" s="22"/>
      <c r="J554" s="22"/>
      <c r="K554" s="22"/>
      <c r="L554" s="2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28"/>
      <c r="B555" s="2"/>
      <c r="C555" s="2"/>
      <c r="D555" s="2"/>
      <c r="E555" s="2"/>
      <c r="F555" s="2"/>
      <c r="G555" s="2"/>
      <c r="H555" s="22"/>
      <c r="I555" s="22"/>
      <c r="J555" s="22"/>
      <c r="K555" s="22"/>
      <c r="L555" s="2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28"/>
      <c r="B556" s="2"/>
      <c r="C556" s="2"/>
      <c r="D556" s="2"/>
      <c r="E556" s="2"/>
      <c r="F556" s="2"/>
      <c r="G556" s="2"/>
      <c r="H556" s="22"/>
      <c r="I556" s="22"/>
      <c r="J556" s="22"/>
      <c r="K556" s="22"/>
      <c r="L556" s="2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28"/>
      <c r="B557" s="2"/>
      <c r="C557" s="2"/>
      <c r="D557" s="2"/>
      <c r="E557" s="2"/>
      <c r="F557" s="2"/>
      <c r="G557" s="2"/>
      <c r="H557" s="22"/>
      <c r="I557" s="22"/>
      <c r="J557" s="22"/>
      <c r="K557" s="22"/>
      <c r="L557" s="2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28"/>
      <c r="B558" s="2"/>
      <c r="C558" s="2"/>
      <c r="D558" s="2"/>
      <c r="E558" s="2"/>
      <c r="F558" s="2"/>
      <c r="G558" s="2"/>
      <c r="H558" s="22"/>
      <c r="I558" s="22"/>
      <c r="J558" s="22"/>
      <c r="K558" s="22"/>
      <c r="L558" s="2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28"/>
      <c r="B559" s="2"/>
      <c r="C559" s="2"/>
      <c r="D559" s="2"/>
      <c r="E559" s="2"/>
      <c r="F559" s="2"/>
      <c r="G559" s="2"/>
      <c r="H559" s="22"/>
      <c r="I559" s="22"/>
      <c r="J559" s="22"/>
      <c r="K559" s="22"/>
      <c r="L559" s="2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28"/>
      <c r="B560" s="2"/>
      <c r="C560" s="2"/>
      <c r="D560" s="2"/>
      <c r="E560" s="2"/>
      <c r="F560" s="2"/>
      <c r="G560" s="2"/>
      <c r="H560" s="22"/>
      <c r="I560" s="22"/>
      <c r="J560" s="22"/>
      <c r="K560" s="22"/>
      <c r="L560" s="2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28"/>
      <c r="B561" s="2"/>
      <c r="C561" s="2"/>
      <c r="D561" s="2"/>
      <c r="E561" s="2"/>
      <c r="F561" s="2"/>
      <c r="G561" s="2"/>
      <c r="H561" s="22"/>
      <c r="I561" s="22"/>
      <c r="J561" s="22"/>
      <c r="K561" s="22"/>
      <c r="L561" s="2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28"/>
      <c r="B562" s="2"/>
      <c r="C562" s="2"/>
      <c r="D562" s="2"/>
      <c r="E562" s="2"/>
      <c r="F562" s="2"/>
      <c r="G562" s="2"/>
      <c r="H562" s="22"/>
      <c r="I562" s="22"/>
      <c r="J562" s="22"/>
      <c r="K562" s="22"/>
      <c r="L562" s="2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28"/>
      <c r="B563" s="2"/>
      <c r="C563" s="2"/>
      <c r="D563" s="2"/>
      <c r="E563" s="2"/>
      <c r="F563" s="2"/>
      <c r="G563" s="2"/>
      <c r="H563" s="22"/>
      <c r="I563" s="22"/>
      <c r="J563" s="22"/>
      <c r="K563" s="22"/>
      <c r="L563" s="2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28"/>
      <c r="B564" s="2"/>
      <c r="C564" s="2"/>
      <c r="D564" s="2"/>
      <c r="E564" s="2"/>
      <c r="F564" s="2"/>
      <c r="G564" s="2"/>
      <c r="H564" s="22"/>
      <c r="I564" s="22"/>
      <c r="J564" s="22"/>
      <c r="K564" s="22"/>
      <c r="L564" s="2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28"/>
      <c r="B565" s="2"/>
      <c r="C565" s="2"/>
      <c r="D565" s="2"/>
      <c r="E565" s="2"/>
      <c r="F565" s="2"/>
      <c r="G565" s="2"/>
      <c r="H565" s="22"/>
      <c r="I565" s="22"/>
      <c r="J565" s="22"/>
      <c r="K565" s="22"/>
      <c r="L565" s="2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28"/>
      <c r="B566" s="2"/>
      <c r="C566" s="2"/>
      <c r="D566" s="2"/>
      <c r="E566" s="2"/>
      <c r="F566" s="2"/>
      <c r="G566" s="2"/>
      <c r="H566" s="22"/>
      <c r="I566" s="22"/>
      <c r="J566" s="22"/>
      <c r="K566" s="22"/>
      <c r="L566" s="2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28"/>
      <c r="B567" s="2"/>
      <c r="C567" s="2"/>
      <c r="D567" s="2"/>
      <c r="E567" s="2"/>
      <c r="F567" s="2"/>
      <c r="G567" s="2"/>
      <c r="H567" s="22"/>
      <c r="I567" s="22"/>
      <c r="J567" s="22"/>
      <c r="K567" s="22"/>
      <c r="L567" s="2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28"/>
      <c r="B568" s="2"/>
      <c r="C568" s="2"/>
      <c r="D568" s="2"/>
      <c r="E568" s="2"/>
      <c r="F568" s="2"/>
      <c r="G568" s="2"/>
      <c r="H568" s="22"/>
      <c r="I568" s="22"/>
      <c r="J568" s="22"/>
      <c r="K568" s="22"/>
      <c r="L568" s="2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28"/>
      <c r="B569" s="2"/>
      <c r="C569" s="2"/>
      <c r="D569" s="2"/>
      <c r="E569" s="2"/>
      <c r="F569" s="2"/>
      <c r="G569" s="2"/>
      <c r="H569" s="22"/>
      <c r="I569" s="22"/>
      <c r="J569" s="22"/>
      <c r="K569" s="22"/>
      <c r="L569" s="2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28"/>
      <c r="B570" s="2"/>
      <c r="C570" s="2"/>
      <c r="D570" s="2"/>
      <c r="E570" s="2"/>
      <c r="F570" s="2"/>
      <c r="G570" s="2"/>
      <c r="H570" s="22"/>
      <c r="I570" s="22"/>
      <c r="J570" s="22"/>
      <c r="K570" s="22"/>
      <c r="L570" s="2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28"/>
      <c r="B571" s="2"/>
      <c r="C571" s="2"/>
      <c r="D571" s="2"/>
      <c r="E571" s="2"/>
      <c r="F571" s="2"/>
      <c r="G571" s="2"/>
      <c r="H571" s="22"/>
      <c r="I571" s="22"/>
      <c r="J571" s="22"/>
      <c r="K571" s="22"/>
      <c r="L571" s="2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28"/>
      <c r="B572" s="2"/>
      <c r="C572" s="2"/>
      <c r="D572" s="2"/>
      <c r="E572" s="2"/>
      <c r="F572" s="2"/>
      <c r="G572" s="2"/>
      <c r="H572" s="22"/>
      <c r="I572" s="22"/>
      <c r="J572" s="22"/>
      <c r="K572" s="22"/>
      <c r="L572" s="2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28"/>
      <c r="B573" s="2"/>
      <c r="C573" s="2"/>
      <c r="D573" s="2"/>
      <c r="E573" s="2"/>
      <c r="F573" s="2"/>
      <c r="G573" s="2"/>
      <c r="H573" s="22"/>
      <c r="I573" s="22"/>
      <c r="J573" s="22"/>
      <c r="K573" s="22"/>
      <c r="L573" s="2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28"/>
      <c r="B574" s="2"/>
      <c r="C574" s="2"/>
      <c r="D574" s="2"/>
      <c r="E574" s="2"/>
      <c r="F574" s="2"/>
      <c r="G574" s="2"/>
      <c r="H574" s="22"/>
      <c r="I574" s="22"/>
      <c r="J574" s="22"/>
      <c r="K574" s="22"/>
      <c r="L574" s="2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28"/>
      <c r="B575" s="2"/>
      <c r="C575" s="2"/>
      <c r="D575" s="2"/>
      <c r="E575" s="2"/>
      <c r="F575" s="2"/>
      <c r="G575" s="2"/>
      <c r="H575" s="22"/>
      <c r="I575" s="22"/>
      <c r="J575" s="22"/>
      <c r="K575" s="22"/>
      <c r="L575" s="2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28"/>
      <c r="B576" s="2"/>
      <c r="C576" s="2"/>
      <c r="D576" s="2"/>
      <c r="E576" s="2"/>
      <c r="F576" s="2"/>
      <c r="G576" s="2"/>
      <c r="H576" s="22"/>
      <c r="I576" s="22"/>
      <c r="J576" s="22"/>
      <c r="K576" s="22"/>
      <c r="L576" s="2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28"/>
      <c r="B577" s="2"/>
      <c r="C577" s="2"/>
      <c r="D577" s="2"/>
      <c r="E577" s="2"/>
      <c r="F577" s="2"/>
      <c r="G577" s="2"/>
      <c r="H577" s="22"/>
      <c r="I577" s="22"/>
      <c r="J577" s="22"/>
      <c r="K577" s="22"/>
      <c r="L577" s="2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28"/>
      <c r="B578" s="2"/>
      <c r="C578" s="2"/>
      <c r="D578" s="2"/>
      <c r="E578" s="2"/>
      <c r="F578" s="2"/>
      <c r="G578" s="2"/>
      <c r="H578" s="22"/>
      <c r="I578" s="22"/>
      <c r="J578" s="22"/>
      <c r="K578" s="22"/>
      <c r="L578" s="2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28"/>
      <c r="B579" s="2"/>
      <c r="C579" s="2"/>
      <c r="D579" s="2"/>
      <c r="E579" s="2"/>
      <c r="F579" s="2"/>
      <c r="G579" s="2"/>
      <c r="H579" s="22"/>
      <c r="I579" s="22"/>
      <c r="J579" s="22"/>
      <c r="K579" s="22"/>
      <c r="L579" s="2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28"/>
      <c r="B580" s="2"/>
      <c r="C580" s="2"/>
      <c r="D580" s="2"/>
      <c r="E580" s="2"/>
      <c r="F580" s="2"/>
      <c r="G580" s="2"/>
      <c r="H580" s="22"/>
      <c r="I580" s="22"/>
      <c r="J580" s="22"/>
      <c r="K580" s="22"/>
      <c r="L580" s="2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28"/>
      <c r="B581" s="2"/>
      <c r="C581" s="2"/>
      <c r="D581" s="2"/>
      <c r="E581" s="2"/>
      <c r="F581" s="2"/>
      <c r="G581" s="2"/>
      <c r="H581" s="22"/>
      <c r="I581" s="22"/>
      <c r="J581" s="22"/>
      <c r="K581" s="22"/>
      <c r="L581" s="2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28"/>
      <c r="B582" s="2"/>
      <c r="C582" s="2"/>
      <c r="D582" s="2"/>
      <c r="E582" s="2"/>
      <c r="F582" s="2"/>
      <c r="G582" s="2"/>
      <c r="H582" s="22"/>
      <c r="I582" s="22"/>
      <c r="J582" s="22"/>
      <c r="K582" s="22"/>
      <c r="L582" s="2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28"/>
      <c r="B583" s="2"/>
      <c r="C583" s="2"/>
      <c r="D583" s="2"/>
      <c r="E583" s="2"/>
      <c r="F583" s="2"/>
      <c r="G583" s="2"/>
      <c r="H583" s="22"/>
      <c r="I583" s="22"/>
      <c r="J583" s="22"/>
      <c r="K583" s="22"/>
      <c r="L583" s="2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28"/>
      <c r="B584" s="2"/>
      <c r="C584" s="2"/>
      <c r="D584" s="2"/>
      <c r="E584" s="2"/>
      <c r="F584" s="2"/>
      <c r="G584" s="2"/>
      <c r="H584" s="22"/>
      <c r="I584" s="22"/>
      <c r="J584" s="22"/>
      <c r="K584" s="22"/>
      <c r="L584" s="2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28"/>
      <c r="B585" s="2"/>
      <c r="C585" s="2"/>
      <c r="D585" s="2"/>
      <c r="E585" s="2"/>
      <c r="F585" s="2"/>
      <c r="G585" s="2"/>
      <c r="H585" s="22"/>
      <c r="I585" s="22"/>
      <c r="J585" s="22"/>
      <c r="K585" s="22"/>
      <c r="L585" s="2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28"/>
      <c r="B586" s="2"/>
      <c r="C586" s="2"/>
      <c r="D586" s="2"/>
      <c r="E586" s="2"/>
      <c r="F586" s="2"/>
      <c r="G586" s="2"/>
      <c r="H586" s="22"/>
      <c r="I586" s="22"/>
      <c r="J586" s="22"/>
      <c r="K586" s="22"/>
      <c r="L586" s="2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28"/>
      <c r="B587" s="2"/>
      <c r="C587" s="2"/>
      <c r="D587" s="2"/>
      <c r="E587" s="2"/>
      <c r="F587" s="2"/>
      <c r="G587" s="2"/>
      <c r="H587" s="22"/>
      <c r="I587" s="22"/>
      <c r="J587" s="22"/>
      <c r="K587" s="22"/>
      <c r="L587" s="2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28"/>
      <c r="B588" s="2"/>
      <c r="C588" s="2"/>
      <c r="D588" s="2"/>
      <c r="E588" s="2"/>
      <c r="F588" s="2"/>
      <c r="G588" s="2"/>
      <c r="H588" s="22"/>
      <c r="I588" s="22"/>
      <c r="J588" s="22"/>
      <c r="K588" s="22"/>
      <c r="L588" s="2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28"/>
      <c r="B589" s="2"/>
      <c r="C589" s="2"/>
      <c r="D589" s="2"/>
      <c r="E589" s="2"/>
      <c r="F589" s="2"/>
      <c r="G589" s="2"/>
      <c r="H589" s="22"/>
      <c r="I589" s="22"/>
      <c r="J589" s="22"/>
      <c r="K589" s="22"/>
      <c r="L589" s="2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28"/>
      <c r="B590" s="2"/>
      <c r="C590" s="2"/>
      <c r="D590" s="2"/>
      <c r="E590" s="2"/>
      <c r="F590" s="2"/>
      <c r="G590" s="2"/>
      <c r="H590" s="22"/>
      <c r="I590" s="22"/>
      <c r="J590" s="22"/>
      <c r="K590" s="22"/>
      <c r="L590" s="2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28"/>
      <c r="B591" s="2"/>
      <c r="C591" s="2"/>
      <c r="D591" s="2"/>
      <c r="E591" s="2"/>
      <c r="F591" s="2"/>
      <c r="G591" s="2"/>
      <c r="H591" s="22"/>
      <c r="I591" s="22"/>
      <c r="J591" s="22"/>
      <c r="K591" s="22"/>
      <c r="L591" s="2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28"/>
      <c r="B592" s="2"/>
      <c r="C592" s="2"/>
      <c r="D592" s="2"/>
      <c r="E592" s="2"/>
      <c r="F592" s="2"/>
      <c r="G592" s="2"/>
      <c r="H592" s="22"/>
      <c r="I592" s="22"/>
      <c r="J592" s="22"/>
      <c r="K592" s="22"/>
      <c r="L592" s="2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28"/>
      <c r="B593" s="2"/>
      <c r="C593" s="2"/>
      <c r="D593" s="2"/>
      <c r="E593" s="2"/>
      <c r="F593" s="2"/>
      <c r="G593" s="2"/>
      <c r="H593" s="22"/>
      <c r="I593" s="22"/>
      <c r="J593" s="22"/>
      <c r="K593" s="22"/>
      <c r="L593" s="2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28"/>
      <c r="B594" s="2"/>
      <c r="C594" s="2"/>
      <c r="D594" s="2"/>
      <c r="E594" s="2"/>
      <c r="F594" s="2"/>
      <c r="G594" s="2"/>
      <c r="H594" s="22"/>
      <c r="I594" s="22"/>
      <c r="J594" s="22"/>
      <c r="K594" s="22"/>
      <c r="L594" s="2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28"/>
      <c r="B595" s="2"/>
      <c r="C595" s="2"/>
      <c r="D595" s="2"/>
      <c r="E595" s="2"/>
      <c r="F595" s="2"/>
      <c r="G595" s="2"/>
      <c r="H595" s="22"/>
      <c r="I595" s="22"/>
      <c r="J595" s="22"/>
      <c r="K595" s="22"/>
      <c r="L595" s="2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28"/>
      <c r="B596" s="2"/>
      <c r="C596" s="2"/>
      <c r="D596" s="2"/>
      <c r="E596" s="2"/>
      <c r="F596" s="2"/>
      <c r="G596" s="2"/>
      <c r="H596" s="22"/>
      <c r="I596" s="22"/>
      <c r="J596" s="22"/>
      <c r="K596" s="22"/>
      <c r="L596" s="2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28"/>
      <c r="B597" s="2"/>
      <c r="C597" s="2"/>
      <c r="D597" s="2"/>
      <c r="E597" s="2"/>
      <c r="F597" s="2"/>
      <c r="G597" s="2"/>
      <c r="H597" s="22"/>
      <c r="I597" s="22"/>
      <c r="J597" s="22"/>
      <c r="K597" s="22"/>
      <c r="L597" s="2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28"/>
      <c r="B598" s="2"/>
      <c r="C598" s="2"/>
      <c r="D598" s="2"/>
      <c r="E598" s="2"/>
      <c r="F598" s="2"/>
      <c r="G598" s="2"/>
      <c r="H598" s="22"/>
      <c r="I598" s="22"/>
      <c r="J598" s="22"/>
      <c r="K598" s="22"/>
      <c r="L598" s="2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28"/>
      <c r="B599" s="2"/>
      <c r="C599" s="2"/>
      <c r="D599" s="2"/>
      <c r="E599" s="2"/>
      <c r="F599" s="2"/>
      <c r="G599" s="2"/>
      <c r="H599" s="22"/>
      <c r="I599" s="22"/>
      <c r="J599" s="22"/>
      <c r="K599" s="22"/>
      <c r="L599" s="2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28"/>
      <c r="B600" s="2"/>
      <c r="C600" s="2"/>
      <c r="D600" s="2"/>
      <c r="E600" s="2"/>
      <c r="F600" s="2"/>
      <c r="G600" s="2"/>
      <c r="H600" s="22"/>
      <c r="I600" s="22"/>
      <c r="J600" s="22"/>
      <c r="K600" s="22"/>
      <c r="L600" s="2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28"/>
      <c r="B601" s="2"/>
      <c r="C601" s="2"/>
      <c r="D601" s="2"/>
      <c r="E601" s="2"/>
      <c r="F601" s="2"/>
      <c r="G601" s="2"/>
      <c r="H601" s="22"/>
      <c r="I601" s="22"/>
      <c r="J601" s="22"/>
      <c r="K601" s="22"/>
      <c r="L601" s="2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28"/>
      <c r="B602" s="2"/>
      <c r="C602" s="2"/>
      <c r="D602" s="2"/>
      <c r="E602" s="2"/>
      <c r="F602" s="2"/>
      <c r="G602" s="2"/>
      <c r="H602" s="22"/>
      <c r="I602" s="22"/>
      <c r="J602" s="22"/>
      <c r="K602" s="22"/>
      <c r="L602" s="2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28"/>
      <c r="B603" s="2"/>
      <c r="C603" s="2"/>
      <c r="D603" s="2"/>
      <c r="E603" s="2"/>
      <c r="F603" s="2"/>
      <c r="G603" s="2"/>
      <c r="H603" s="22"/>
      <c r="I603" s="22"/>
      <c r="J603" s="22"/>
      <c r="K603" s="22"/>
      <c r="L603" s="2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28"/>
      <c r="B604" s="2"/>
      <c r="C604" s="2"/>
      <c r="D604" s="2"/>
      <c r="E604" s="2"/>
      <c r="F604" s="2"/>
      <c r="G604" s="2"/>
      <c r="H604" s="22"/>
      <c r="I604" s="22"/>
      <c r="J604" s="22"/>
      <c r="K604" s="22"/>
      <c r="L604" s="2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28"/>
      <c r="B605" s="2"/>
      <c r="C605" s="2"/>
      <c r="D605" s="2"/>
      <c r="E605" s="2"/>
      <c r="F605" s="2"/>
      <c r="G605" s="2"/>
      <c r="H605" s="22"/>
      <c r="I605" s="22"/>
      <c r="J605" s="22"/>
      <c r="K605" s="22"/>
      <c r="L605" s="2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28"/>
      <c r="B606" s="2"/>
      <c r="C606" s="2"/>
      <c r="D606" s="2"/>
      <c r="E606" s="2"/>
      <c r="F606" s="2"/>
      <c r="G606" s="2"/>
      <c r="H606" s="22"/>
      <c r="I606" s="22"/>
      <c r="J606" s="22"/>
      <c r="K606" s="22"/>
      <c r="L606" s="2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28"/>
      <c r="B607" s="2"/>
      <c r="C607" s="2"/>
      <c r="D607" s="2"/>
      <c r="E607" s="2"/>
      <c r="F607" s="2"/>
      <c r="G607" s="2"/>
      <c r="H607" s="22"/>
      <c r="I607" s="22"/>
      <c r="J607" s="22"/>
      <c r="K607" s="22"/>
      <c r="L607" s="2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28"/>
      <c r="B608" s="2"/>
      <c r="C608" s="2"/>
      <c r="D608" s="2"/>
      <c r="E608" s="2"/>
      <c r="F608" s="2"/>
      <c r="G608" s="2"/>
      <c r="H608" s="22"/>
      <c r="I608" s="22"/>
      <c r="J608" s="22"/>
      <c r="K608" s="22"/>
      <c r="L608" s="2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28"/>
      <c r="B609" s="2"/>
      <c r="C609" s="2"/>
      <c r="D609" s="2"/>
      <c r="E609" s="2"/>
      <c r="F609" s="2"/>
      <c r="G609" s="2"/>
      <c r="H609" s="22"/>
      <c r="I609" s="22"/>
      <c r="J609" s="22"/>
      <c r="K609" s="22"/>
      <c r="L609" s="2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28"/>
      <c r="B610" s="2"/>
      <c r="C610" s="2"/>
      <c r="D610" s="2"/>
      <c r="E610" s="2"/>
      <c r="F610" s="2"/>
      <c r="G610" s="2"/>
      <c r="H610" s="22"/>
      <c r="I610" s="22"/>
      <c r="J610" s="22"/>
      <c r="K610" s="22"/>
      <c r="L610" s="2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28"/>
      <c r="B611" s="2"/>
      <c r="C611" s="2"/>
      <c r="D611" s="2"/>
      <c r="E611" s="2"/>
      <c r="F611" s="2"/>
      <c r="G611" s="2"/>
      <c r="H611" s="22"/>
      <c r="I611" s="22"/>
      <c r="J611" s="22"/>
      <c r="K611" s="22"/>
      <c r="L611" s="2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28"/>
      <c r="B612" s="2"/>
      <c r="C612" s="2"/>
      <c r="D612" s="2"/>
      <c r="E612" s="2"/>
      <c r="F612" s="2"/>
      <c r="G612" s="2"/>
      <c r="H612" s="22"/>
      <c r="I612" s="22"/>
      <c r="J612" s="22"/>
      <c r="K612" s="22"/>
      <c r="L612" s="2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28"/>
      <c r="B613" s="2"/>
      <c r="C613" s="2"/>
      <c r="D613" s="2"/>
      <c r="E613" s="2"/>
      <c r="F613" s="2"/>
      <c r="G613" s="2"/>
      <c r="H613" s="22"/>
      <c r="I613" s="22"/>
      <c r="J613" s="22"/>
      <c r="K613" s="22"/>
      <c r="L613" s="2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28"/>
      <c r="B614" s="2"/>
      <c r="C614" s="2"/>
      <c r="D614" s="2"/>
      <c r="E614" s="2"/>
      <c r="F614" s="2"/>
      <c r="G614" s="2"/>
      <c r="H614" s="22"/>
      <c r="I614" s="22"/>
      <c r="J614" s="22"/>
      <c r="K614" s="22"/>
      <c r="L614" s="2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28"/>
      <c r="B615" s="2"/>
      <c r="C615" s="2"/>
      <c r="D615" s="2"/>
      <c r="E615" s="2"/>
      <c r="F615" s="2"/>
      <c r="G615" s="2"/>
      <c r="H615" s="22"/>
      <c r="I615" s="22"/>
      <c r="J615" s="22"/>
      <c r="K615" s="22"/>
      <c r="L615" s="2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28"/>
      <c r="B616" s="2"/>
      <c r="C616" s="2"/>
      <c r="D616" s="2"/>
      <c r="E616" s="2"/>
      <c r="F616" s="2"/>
      <c r="G616" s="2"/>
      <c r="H616" s="22"/>
      <c r="I616" s="22"/>
      <c r="J616" s="22"/>
      <c r="K616" s="22"/>
      <c r="L616" s="2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28"/>
      <c r="B617" s="2"/>
      <c r="C617" s="2"/>
      <c r="D617" s="2"/>
      <c r="E617" s="2"/>
      <c r="F617" s="2"/>
      <c r="G617" s="2"/>
      <c r="H617" s="22"/>
      <c r="I617" s="22"/>
      <c r="J617" s="22"/>
      <c r="K617" s="22"/>
      <c r="L617" s="2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28"/>
      <c r="B618" s="2"/>
      <c r="C618" s="2"/>
      <c r="D618" s="2"/>
      <c r="E618" s="2"/>
      <c r="F618" s="2"/>
      <c r="G618" s="2"/>
      <c r="H618" s="22"/>
      <c r="I618" s="22"/>
      <c r="J618" s="22"/>
      <c r="K618" s="22"/>
      <c r="L618" s="2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28"/>
      <c r="B619" s="2"/>
      <c r="C619" s="2"/>
      <c r="D619" s="2"/>
      <c r="E619" s="2"/>
      <c r="F619" s="2"/>
      <c r="G619" s="2"/>
      <c r="H619" s="22"/>
      <c r="I619" s="22"/>
      <c r="J619" s="22"/>
      <c r="K619" s="22"/>
      <c r="L619" s="2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28"/>
      <c r="B620" s="2"/>
      <c r="C620" s="2"/>
      <c r="D620" s="2"/>
      <c r="E620" s="2"/>
      <c r="F620" s="2"/>
      <c r="G620" s="2"/>
      <c r="H620" s="22"/>
      <c r="I620" s="22"/>
      <c r="J620" s="22"/>
      <c r="K620" s="22"/>
      <c r="L620" s="2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28"/>
      <c r="B621" s="2"/>
      <c r="C621" s="2"/>
      <c r="D621" s="2"/>
      <c r="E621" s="2"/>
      <c r="F621" s="2"/>
      <c r="G621" s="2"/>
      <c r="H621" s="22"/>
      <c r="I621" s="22"/>
      <c r="J621" s="22"/>
      <c r="K621" s="22"/>
      <c r="L621" s="2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28"/>
      <c r="B622" s="2"/>
      <c r="C622" s="2"/>
      <c r="D622" s="2"/>
      <c r="E622" s="2"/>
      <c r="F622" s="2"/>
      <c r="G622" s="2"/>
      <c r="H622" s="22"/>
      <c r="I622" s="22"/>
      <c r="J622" s="22"/>
      <c r="K622" s="22"/>
      <c r="L622" s="2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28"/>
      <c r="B623" s="2"/>
      <c r="C623" s="2"/>
      <c r="D623" s="2"/>
      <c r="E623" s="2"/>
      <c r="F623" s="2"/>
      <c r="G623" s="2"/>
      <c r="H623" s="22"/>
      <c r="I623" s="22"/>
      <c r="J623" s="22"/>
      <c r="K623" s="22"/>
      <c r="L623" s="2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28"/>
      <c r="B624" s="2"/>
      <c r="C624" s="2"/>
      <c r="D624" s="2"/>
      <c r="E624" s="2"/>
      <c r="F624" s="2"/>
      <c r="G624" s="2"/>
      <c r="H624" s="22"/>
      <c r="I624" s="22"/>
      <c r="J624" s="22"/>
      <c r="K624" s="22"/>
      <c r="L624" s="2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28"/>
      <c r="B625" s="2"/>
      <c r="C625" s="2"/>
      <c r="D625" s="2"/>
      <c r="E625" s="2"/>
      <c r="F625" s="2"/>
      <c r="G625" s="2"/>
      <c r="H625" s="22"/>
      <c r="I625" s="22"/>
      <c r="J625" s="22"/>
      <c r="K625" s="22"/>
      <c r="L625" s="2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28"/>
      <c r="B626" s="2"/>
      <c r="C626" s="2"/>
      <c r="D626" s="2"/>
      <c r="E626" s="2"/>
      <c r="F626" s="2"/>
      <c r="G626" s="2"/>
      <c r="H626" s="22"/>
      <c r="I626" s="22"/>
      <c r="J626" s="22"/>
      <c r="K626" s="22"/>
      <c r="L626" s="2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28"/>
      <c r="B627" s="2"/>
      <c r="C627" s="2"/>
      <c r="D627" s="2"/>
      <c r="E627" s="2"/>
      <c r="F627" s="2"/>
      <c r="G627" s="2"/>
      <c r="H627" s="22"/>
      <c r="I627" s="22"/>
      <c r="J627" s="22"/>
      <c r="K627" s="22"/>
      <c r="L627" s="2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28"/>
      <c r="B628" s="2"/>
      <c r="C628" s="2"/>
      <c r="D628" s="2"/>
      <c r="E628" s="2"/>
      <c r="F628" s="2"/>
      <c r="G628" s="2"/>
      <c r="H628" s="22"/>
      <c r="I628" s="22"/>
      <c r="J628" s="22"/>
      <c r="K628" s="22"/>
      <c r="L628" s="2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28"/>
      <c r="B629" s="2"/>
      <c r="C629" s="2"/>
      <c r="D629" s="2"/>
      <c r="E629" s="2"/>
      <c r="F629" s="2"/>
      <c r="G629" s="2"/>
      <c r="H629" s="22"/>
      <c r="I629" s="22"/>
      <c r="J629" s="22"/>
      <c r="K629" s="22"/>
      <c r="L629" s="2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28"/>
      <c r="B630" s="2"/>
      <c r="C630" s="2"/>
      <c r="D630" s="2"/>
      <c r="E630" s="2"/>
      <c r="F630" s="2"/>
      <c r="G630" s="2"/>
      <c r="H630" s="22"/>
      <c r="I630" s="22"/>
      <c r="J630" s="22"/>
      <c r="K630" s="22"/>
      <c r="L630" s="2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28"/>
      <c r="B631" s="2"/>
      <c r="C631" s="2"/>
      <c r="D631" s="2"/>
      <c r="E631" s="2"/>
      <c r="F631" s="2"/>
      <c r="G631" s="2"/>
      <c r="H631" s="22"/>
      <c r="I631" s="22"/>
      <c r="J631" s="22"/>
      <c r="K631" s="22"/>
      <c r="L631" s="2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28"/>
      <c r="B632" s="2"/>
      <c r="C632" s="2"/>
      <c r="D632" s="2"/>
      <c r="E632" s="2"/>
      <c r="F632" s="2"/>
      <c r="G632" s="2"/>
      <c r="H632" s="22"/>
      <c r="I632" s="22"/>
      <c r="J632" s="22"/>
      <c r="K632" s="22"/>
      <c r="L632" s="2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28"/>
      <c r="B633" s="2"/>
      <c r="C633" s="2"/>
      <c r="D633" s="2"/>
      <c r="E633" s="2"/>
      <c r="F633" s="2"/>
      <c r="G633" s="2"/>
      <c r="H633" s="22"/>
      <c r="I633" s="22"/>
      <c r="J633" s="22"/>
      <c r="K633" s="22"/>
      <c r="L633" s="2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28"/>
      <c r="B634" s="2"/>
      <c r="C634" s="2"/>
      <c r="D634" s="2"/>
      <c r="E634" s="2"/>
      <c r="F634" s="2"/>
      <c r="G634" s="2"/>
      <c r="H634" s="22"/>
      <c r="I634" s="22"/>
      <c r="J634" s="22"/>
      <c r="K634" s="22"/>
      <c r="L634" s="2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28"/>
      <c r="B635" s="2"/>
      <c r="C635" s="2"/>
      <c r="D635" s="2"/>
      <c r="E635" s="2"/>
      <c r="F635" s="2"/>
      <c r="G635" s="2"/>
      <c r="H635" s="22"/>
      <c r="I635" s="22"/>
      <c r="J635" s="22"/>
      <c r="K635" s="22"/>
      <c r="L635" s="2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28"/>
      <c r="B636" s="2"/>
      <c r="C636" s="2"/>
      <c r="D636" s="2"/>
      <c r="E636" s="2"/>
      <c r="F636" s="2"/>
      <c r="G636" s="2"/>
      <c r="H636" s="22"/>
      <c r="I636" s="22"/>
      <c r="J636" s="22"/>
      <c r="K636" s="22"/>
      <c r="L636" s="2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28"/>
      <c r="B637" s="2"/>
      <c r="C637" s="2"/>
      <c r="D637" s="2"/>
      <c r="E637" s="2"/>
      <c r="F637" s="2"/>
      <c r="G637" s="2"/>
      <c r="H637" s="22"/>
      <c r="I637" s="22"/>
      <c r="J637" s="22"/>
      <c r="K637" s="22"/>
      <c r="L637" s="2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28"/>
      <c r="B638" s="2"/>
      <c r="C638" s="2"/>
      <c r="D638" s="2"/>
      <c r="E638" s="2"/>
      <c r="F638" s="2"/>
      <c r="G638" s="2"/>
      <c r="H638" s="22"/>
      <c r="I638" s="22"/>
      <c r="J638" s="22"/>
      <c r="K638" s="22"/>
      <c r="L638" s="2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28"/>
      <c r="B639" s="2"/>
      <c r="C639" s="2"/>
      <c r="D639" s="2"/>
      <c r="E639" s="2"/>
      <c r="F639" s="2"/>
      <c r="G639" s="2"/>
      <c r="H639" s="22"/>
      <c r="I639" s="22"/>
      <c r="J639" s="22"/>
      <c r="K639" s="22"/>
      <c r="L639" s="2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28"/>
      <c r="B640" s="2"/>
      <c r="C640" s="2"/>
      <c r="D640" s="2"/>
      <c r="E640" s="2"/>
      <c r="F640" s="2"/>
      <c r="G640" s="2"/>
      <c r="H640" s="22"/>
      <c r="I640" s="22"/>
      <c r="J640" s="22"/>
      <c r="K640" s="22"/>
      <c r="L640" s="2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28"/>
      <c r="B641" s="2"/>
      <c r="C641" s="2"/>
      <c r="D641" s="2"/>
      <c r="E641" s="2"/>
      <c r="F641" s="2"/>
      <c r="G641" s="2"/>
      <c r="H641" s="22"/>
      <c r="I641" s="22"/>
      <c r="J641" s="22"/>
      <c r="K641" s="22"/>
      <c r="L641" s="2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28"/>
      <c r="B642" s="2"/>
      <c r="C642" s="2"/>
      <c r="D642" s="2"/>
      <c r="E642" s="2"/>
      <c r="F642" s="2"/>
      <c r="G642" s="2"/>
      <c r="H642" s="22"/>
      <c r="I642" s="22"/>
      <c r="J642" s="22"/>
      <c r="K642" s="22"/>
      <c r="L642" s="2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28"/>
      <c r="B643" s="2"/>
      <c r="C643" s="2"/>
      <c r="D643" s="2"/>
      <c r="E643" s="2"/>
      <c r="F643" s="2"/>
      <c r="G643" s="2"/>
      <c r="H643" s="22"/>
      <c r="I643" s="22"/>
      <c r="J643" s="22"/>
      <c r="K643" s="22"/>
      <c r="L643" s="2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28"/>
      <c r="B644" s="2"/>
      <c r="C644" s="2"/>
      <c r="D644" s="2"/>
      <c r="E644" s="2"/>
      <c r="F644" s="2"/>
      <c r="G644" s="2"/>
      <c r="H644" s="22"/>
      <c r="I644" s="22"/>
      <c r="J644" s="22"/>
      <c r="K644" s="22"/>
      <c r="L644" s="2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28"/>
      <c r="B645" s="2"/>
      <c r="C645" s="2"/>
      <c r="D645" s="2"/>
      <c r="E645" s="2"/>
      <c r="F645" s="2"/>
      <c r="G645" s="2"/>
      <c r="H645" s="22"/>
      <c r="I645" s="22"/>
      <c r="J645" s="22"/>
      <c r="K645" s="22"/>
      <c r="L645" s="2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28"/>
      <c r="B646" s="2"/>
      <c r="C646" s="2"/>
      <c r="D646" s="2"/>
      <c r="E646" s="2"/>
      <c r="F646" s="2"/>
      <c r="G646" s="2"/>
      <c r="H646" s="22"/>
      <c r="I646" s="22"/>
      <c r="J646" s="22"/>
      <c r="K646" s="22"/>
      <c r="L646" s="2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28"/>
      <c r="B647" s="2"/>
      <c r="C647" s="2"/>
      <c r="D647" s="2"/>
      <c r="E647" s="2"/>
      <c r="F647" s="2"/>
      <c r="G647" s="2"/>
      <c r="H647" s="22"/>
      <c r="I647" s="22"/>
      <c r="J647" s="22"/>
      <c r="K647" s="22"/>
      <c r="L647" s="2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28"/>
      <c r="B648" s="2"/>
      <c r="C648" s="2"/>
      <c r="D648" s="2"/>
      <c r="E648" s="2"/>
      <c r="F648" s="2"/>
      <c r="G648" s="2"/>
      <c r="H648" s="22"/>
      <c r="I648" s="22"/>
      <c r="J648" s="22"/>
      <c r="K648" s="22"/>
      <c r="L648" s="2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28"/>
      <c r="B649" s="2"/>
      <c r="C649" s="2"/>
      <c r="D649" s="2"/>
      <c r="E649" s="2"/>
      <c r="F649" s="2"/>
      <c r="G649" s="2"/>
      <c r="H649" s="22"/>
      <c r="I649" s="22"/>
      <c r="J649" s="22"/>
      <c r="K649" s="22"/>
      <c r="L649" s="2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28"/>
      <c r="B650" s="2"/>
      <c r="C650" s="2"/>
      <c r="D650" s="2"/>
      <c r="E650" s="2"/>
      <c r="F650" s="2"/>
      <c r="G650" s="2"/>
      <c r="H650" s="22"/>
      <c r="I650" s="22"/>
      <c r="J650" s="22"/>
      <c r="K650" s="22"/>
      <c r="L650" s="2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28"/>
      <c r="B651" s="2"/>
      <c r="C651" s="2"/>
      <c r="D651" s="2"/>
      <c r="E651" s="2"/>
      <c r="F651" s="2"/>
      <c r="G651" s="2"/>
      <c r="H651" s="22"/>
      <c r="I651" s="22"/>
      <c r="J651" s="22"/>
      <c r="K651" s="22"/>
      <c r="L651" s="2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28"/>
      <c r="B652" s="2"/>
      <c r="C652" s="2"/>
      <c r="D652" s="2"/>
      <c r="E652" s="2"/>
      <c r="F652" s="2"/>
      <c r="G652" s="2"/>
      <c r="H652" s="22"/>
      <c r="I652" s="22"/>
      <c r="J652" s="22"/>
      <c r="K652" s="22"/>
      <c r="L652" s="2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28"/>
      <c r="B653" s="2"/>
      <c r="C653" s="2"/>
      <c r="D653" s="2"/>
      <c r="E653" s="2"/>
      <c r="F653" s="2"/>
      <c r="G653" s="2"/>
      <c r="H653" s="22"/>
      <c r="I653" s="22"/>
      <c r="J653" s="22"/>
      <c r="K653" s="22"/>
      <c r="L653" s="2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28"/>
      <c r="B654" s="2"/>
      <c r="C654" s="2"/>
      <c r="D654" s="2"/>
      <c r="E654" s="2"/>
      <c r="F654" s="2"/>
      <c r="G654" s="2"/>
      <c r="H654" s="22"/>
      <c r="I654" s="22"/>
      <c r="J654" s="22"/>
      <c r="K654" s="22"/>
      <c r="L654" s="2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28"/>
      <c r="B655" s="2"/>
      <c r="C655" s="2"/>
      <c r="D655" s="2"/>
      <c r="E655" s="2"/>
      <c r="F655" s="2"/>
      <c r="G655" s="2"/>
      <c r="H655" s="22"/>
      <c r="I655" s="22"/>
      <c r="J655" s="22"/>
      <c r="K655" s="22"/>
      <c r="L655" s="2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28"/>
      <c r="B656" s="2"/>
      <c r="C656" s="2"/>
      <c r="D656" s="2"/>
      <c r="E656" s="2"/>
      <c r="F656" s="2"/>
      <c r="G656" s="2"/>
      <c r="H656" s="22"/>
      <c r="I656" s="22"/>
      <c r="J656" s="22"/>
      <c r="K656" s="22"/>
      <c r="L656" s="2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28"/>
      <c r="B657" s="2"/>
      <c r="C657" s="2"/>
      <c r="D657" s="2"/>
      <c r="E657" s="2"/>
      <c r="F657" s="2"/>
      <c r="G657" s="2"/>
      <c r="H657" s="22"/>
      <c r="I657" s="22"/>
      <c r="J657" s="22"/>
      <c r="K657" s="22"/>
      <c r="L657" s="2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28"/>
      <c r="B658" s="2"/>
      <c r="C658" s="2"/>
      <c r="D658" s="2"/>
      <c r="E658" s="2"/>
      <c r="F658" s="2"/>
      <c r="G658" s="2"/>
      <c r="H658" s="22"/>
      <c r="I658" s="22"/>
      <c r="J658" s="22"/>
      <c r="K658" s="22"/>
      <c r="L658" s="2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28"/>
      <c r="B659" s="2"/>
      <c r="C659" s="2"/>
      <c r="D659" s="2"/>
      <c r="E659" s="2"/>
      <c r="F659" s="2"/>
      <c r="G659" s="2"/>
      <c r="H659" s="22"/>
      <c r="I659" s="22"/>
      <c r="J659" s="22"/>
      <c r="K659" s="22"/>
      <c r="L659" s="2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28"/>
      <c r="B660" s="2"/>
      <c r="C660" s="2"/>
      <c r="D660" s="2"/>
      <c r="E660" s="2"/>
      <c r="F660" s="2"/>
      <c r="G660" s="2"/>
      <c r="H660" s="22"/>
      <c r="I660" s="22"/>
      <c r="J660" s="22"/>
      <c r="K660" s="22"/>
      <c r="L660" s="2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28"/>
      <c r="B661" s="2"/>
      <c r="C661" s="2"/>
      <c r="D661" s="2"/>
      <c r="E661" s="2"/>
      <c r="F661" s="2"/>
      <c r="G661" s="2"/>
      <c r="H661" s="22"/>
      <c r="I661" s="22"/>
      <c r="J661" s="22"/>
      <c r="K661" s="22"/>
      <c r="L661" s="2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28"/>
      <c r="B662" s="2"/>
      <c r="C662" s="2"/>
      <c r="D662" s="2"/>
      <c r="E662" s="2"/>
      <c r="F662" s="2"/>
      <c r="G662" s="2"/>
      <c r="H662" s="22"/>
      <c r="I662" s="22"/>
      <c r="J662" s="22"/>
      <c r="K662" s="22"/>
      <c r="L662" s="2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28"/>
      <c r="B663" s="2"/>
      <c r="C663" s="2"/>
      <c r="D663" s="2"/>
      <c r="E663" s="2"/>
      <c r="F663" s="2"/>
      <c r="G663" s="2"/>
      <c r="H663" s="22"/>
      <c r="I663" s="22"/>
      <c r="J663" s="22"/>
      <c r="K663" s="22"/>
      <c r="L663" s="2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28"/>
      <c r="B664" s="2"/>
      <c r="C664" s="2"/>
      <c r="D664" s="2"/>
      <c r="E664" s="2"/>
      <c r="F664" s="2"/>
      <c r="G664" s="2"/>
      <c r="H664" s="22"/>
      <c r="I664" s="22"/>
      <c r="J664" s="22"/>
      <c r="K664" s="22"/>
      <c r="L664" s="2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28"/>
      <c r="B665" s="2"/>
      <c r="C665" s="2"/>
      <c r="D665" s="2"/>
      <c r="E665" s="2"/>
      <c r="F665" s="2"/>
      <c r="G665" s="2"/>
      <c r="H665" s="22"/>
      <c r="I665" s="22"/>
      <c r="J665" s="22"/>
      <c r="K665" s="22"/>
      <c r="L665" s="2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28"/>
      <c r="B666" s="2"/>
      <c r="C666" s="2"/>
      <c r="D666" s="2"/>
      <c r="E666" s="2"/>
      <c r="F666" s="2"/>
      <c r="G666" s="2"/>
      <c r="H666" s="22"/>
      <c r="I666" s="22"/>
      <c r="J666" s="22"/>
      <c r="K666" s="22"/>
      <c r="L666" s="2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28"/>
      <c r="B667" s="2"/>
      <c r="C667" s="2"/>
      <c r="D667" s="2"/>
      <c r="E667" s="2"/>
      <c r="F667" s="2"/>
      <c r="G667" s="2"/>
      <c r="H667" s="22"/>
      <c r="I667" s="22"/>
      <c r="J667" s="22"/>
      <c r="K667" s="22"/>
      <c r="L667" s="2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28"/>
      <c r="B668" s="2"/>
      <c r="C668" s="2"/>
      <c r="D668" s="2"/>
      <c r="E668" s="2"/>
      <c r="F668" s="2"/>
      <c r="G668" s="2"/>
      <c r="H668" s="22"/>
      <c r="I668" s="22"/>
      <c r="J668" s="22"/>
      <c r="K668" s="22"/>
      <c r="L668" s="2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28"/>
      <c r="B669" s="2"/>
      <c r="C669" s="2"/>
      <c r="D669" s="2"/>
      <c r="E669" s="2"/>
      <c r="F669" s="2"/>
      <c r="G669" s="2"/>
      <c r="H669" s="22"/>
      <c r="I669" s="22"/>
      <c r="J669" s="22"/>
      <c r="K669" s="22"/>
      <c r="L669" s="2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28"/>
      <c r="B670" s="2"/>
      <c r="C670" s="2"/>
      <c r="D670" s="2"/>
      <c r="E670" s="2"/>
      <c r="F670" s="2"/>
      <c r="G670" s="2"/>
      <c r="H670" s="22"/>
      <c r="I670" s="22"/>
      <c r="J670" s="22"/>
      <c r="K670" s="22"/>
      <c r="L670" s="2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28"/>
      <c r="B671" s="2"/>
      <c r="C671" s="2"/>
      <c r="D671" s="2"/>
      <c r="E671" s="2"/>
      <c r="F671" s="2"/>
      <c r="G671" s="2"/>
      <c r="H671" s="22"/>
      <c r="I671" s="22"/>
      <c r="J671" s="22"/>
      <c r="K671" s="22"/>
      <c r="L671" s="2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28"/>
      <c r="B672" s="2"/>
      <c r="C672" s="2"/>
      <c r="D672" s="2"/>
      <c r="E672" s="2"/>
      <c r="F672" s="2"/>
      <c r="G672" s="2"/>
      <c r="H672" s="22"/>
      <c r="I672" s="22"/>
      <c r="J672" s="22"/>
      <c r="K672" s="22"/>
      <c r="L672" s="2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28"/>
      <c r="B673" s="2"/>
      <c r="C673" s="2"/>
      <c r="D673" s="2"/>
      <c r="E673" s="2"/>
      <c r="F673" s="2"/>
      <c r="G673" s="2"/>
      <c r="H673" s="22"/>
      <c r="I673" s="22"/>
      <c r="J673" s="22"/>
      <c r="K673" s="22"/>
      <c r="L673" s="2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28"/>
      <c r="B674" s="2"/>
      <c r="C674" s="2"/>
      <c r="D674" s="2"/>
      <c r="E674" s="2"/>
      <c r="F674" s="2"/>
      <c r="G674" s="2"/>
      <c r="H674" s="22"/>
      <c r="I674" s="22"/>
      <c r="J674" s="22"/>
      <c r="K674" s="22"/>
      <c r="L674" s="2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28"/>
      <c r="B675" s="2"/>
      <c r="C675" s="2"/>
      <c r="D675" s="2"/>
      <c r="E675" s="2"/>
      <c r="F675" s="2"/>
      <c r="G675" s="2"/>
      <c r="H675" s="22"/>
      <c r="I675" s="22"/>
      <c r="J675" s="22"/>
      <c r="K675" s="22"/>
      <c r="L675" s="2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28"/>
      <c r="B676" s="2"/>
      <c r="C676" s="2"/>
      <c r="D676" s="2"/>
      <c r="E676" s="2"/>
      <c r="F676" s="2"/>
      <c r="G676" s="2"/>
      <c r="H676" s="22"/>
      <c r="I676" s="22"/>
      <c r="J676" s="22"/>
      <c r="K676" s="22"/>
      <c r="L676" s="2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28"/>
      <c r="B677" s="2"/>
      <c r="C677" s="2"/>
      <c r="D677" s="2"/>
      <c r="E677" s="2"/>
      <c r="F677" s="2"/>
      <c r="G677" s="2"/>
      <c r="H677" s="22"/>
      <c r="I677" s="22"/>
      <c r="J677" s="22"/>
      <c r="K677" s="22"/>
      <c r="L677" s="2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28"/>
      <c r="B678" s="2"/>
      <c r="C678" s="2"/>
      <c r="D678" s="2"/>
      <c r="E678" s="2"/>
      <c r="F678" s="2"/>
      <c r="G678" s="2"/>
      <c r="H678" s="22"/>
      <c r="I678" s="22"/>
      <c r="J678" s="22"/>
      <c r="K678" s="22"/>
      <c r="L678" s="2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28"/>
      <c r="B679" s="2"/>
      <c r="C679" s="2"/>
      <c r="D679" s="2"/>
      <c r="E679" s="2"/>
      <c r="F679" s="2"/>
      <c r="G679" s="2"/>
      <c r="H679" s="22"/>
      <c r="I679" s="22"/>
      <c r="J679" s="22"/>
      <c r="K679" s="22"/>
      <c r="L679" s="2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28"/>
      <c r="B680" s="2"/>
      <c r="C680" s="2"/>
      <c r="D680" s="2"/>
      <c r="E680" s="2"/>
      <c r="F680" s="2"/>
      <c r="G680" s="2"/>
      <c r="H680" s="22"/>
      <c r="I680" s="22"/>
      <c r="J680" s="22"/>
      <c r="K680" s="22"/>
      <c r="L680" s="2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28"/>
      <c r="B681" s="2"/>
      <c r="C681" s="2"/>
      <c r="D681" s="2"/>
      <c r="E681" s="2"/>
      <c r="F681" s="2"/>
      <c r="G681" s="2"/>
      <c r="H681" s="22"/>
      <c r="I681" s="22"/>
      <c r="J681" s="22"/>
      <c r="K681" s="22"/>
      <c r="L681" s="2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28"/>
      <c r="B682" s="2"/>
      <c r="C682" s="2"/>
      <c r="D682" s="2"/>
      <c r="E682" s="2"/>
      <c r="F682" s="2"/>
      <c r="G682" s="2"/>
      <c r="H682" s="22"/>
      <c r="I682" s="22"/>
      <c r="J682" s="22"/>
      <c r="K682" s="22"/>
      <c r="L682" s="2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28"/>
      <c r="B683" s="2"/>
      <c r="C683" s="2"/>
      <c r="D683" s="2"/>
      <c r="E683" s="2"/>
      <c r="F683" s="2"/>
      <c r="G683" s="2"/>
      <c r="H683" s="22"/>
      <c r="I683" s="22"/>
      <c r="J683" s="22"/>
      <c r="K683" s="22"/>
      <c r="L683" s="2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28"/>
      <c r="B684" s="2"/>
      <c r="C684" s="2"/>
      <c r="D684" s="2"/>
      <c r="E684" s="2"/>
      <c r="F684" s="2"/>
      <c r="G684" s="2"/>
      <c r="H684" s="22"/>
      <c r="I684" s="22"/>
      <c r="J684" s="22"/>
      <c r="K684" s="22"/>
      <c r="L684" s="2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28"/>
      <c r="B685" s="2"/>
      <c r="C685" s="2"/>
      <c r="D685" s="2"/>
      <c r="E685" s="2"/>
      <c r="F685" s="2"/>
      <c r="G685" s="2"/>
      <c r="H685" s="22"/>
      <c r="I685" s="22"/>
      <c r="J685" s="22"/>
      <c r="K685" s="22"/>
      <c r="L685" s="2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28"/>
      <c r="B686" s="2"/>
      <c r="C686" s="2"/>
      <c r="D686" s="2"/>
      <c r="E686" s="2"/>
      <c r="F686" s="2"/>
      <c r="G686" s="2"/>
      <c r="H686" s="22"/>
      <c r="I686" s="22"/>
      <c r="J686" s="22"/>
      <c r="K686" s="22"/>
      <c r="L686" s="2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28"/>
      <c r="B687" s="2"/>
      <c r="C687" s="2"/>
      <c r="D687" s="2"/>
      <c r="E687" s="2"/>
      <c r="F687" s="2"/>
      <c r="G687" s="2"/>
      <c r="H687" s="22"/>
      <c r="I687" s="22"/>
      <c r="J687" s="22"/>
      <c r="K687" s="22"/>
      <c r="L687" s="2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28"/>
      <c r="B688" s="2"/>
      <c r="C688" s="2"/>
      <c r="D688" s="2"/>
      <c r="E688" s="2"/>
      <c r="F688" s="2"/>
      <c r="G688" s="2"/>
      <c r="H688" s="22"/>
      <c r="I688" s="22"/>
      <c r="J688" s="22"/>
      <c r="K688" s="22"/>
      <c r="L688" s="2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28"/>
      <c r="B689" s="2"/>
      <c r="C689" s="2"/>
      <c r="D689" s="2"/>
      <c r="E689" s="2"/>
      <c r="F689" s="2"/>
      <c r="G689" s="2"/>
      <c r="H689" s="22"/>
      <c r="I689" s="22"/>
      <c r="J689" s="22"/>
      <c r="K689" s="22"/>
      <c r="L689" s="2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28"/>
      <c r="B690" s="2"/>
      <c r="C690" s="2"/>
      <c r="D690" s="2"/>
      <c r="E690" s="2"/>
      <c r="F690" s="2"/>
      <c r="G690" s="2"/>
      <c r="H690" s="22"/>
      <c r="I690" s="22"/>
      <c r="J690" s="22"/>
      <c r="K690" s="22"/>
      <c r="L690" s="2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28"/>
      <c r="B691" s="2"/>
      <c r="C691" s="2"/>
      <c r="D691" s="2"/>
      <c r="E691" s="2"/>
      <c r="F691" s="2"/>
      <c r="G691" s="2"/>
      <c r="H691" s="22"/>
      <c r="I691" s="22"/>
      <c r="J691" s="22"/>
      <c r="K691" s="22"/>
      <c r="L691" s="2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28"/>
      <c r="B692" s="2"/>
      <c r="C692" s="2"/>
      <c r="D692" s="2"/>
      <c r="E692" s="2"/>
      <c r="F692" s="2"/>
      <c r="G692" s="2"/>
      <c r="H692" s="22"/>
      <c r="I692" s="22"/>
      <c r="J692" s="22"/>
      <c r="K692" s="22"/>
      <c r="L692" s="2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28"/>
      <c r="B693" s="2"/>
      <c r="C693" s="2"/>
      <c r="D693" s="2"/>
      <c r="E693" s="2"/>
      <c r="F693" s="2"/>
      <c r="G693" s="2"/>
      <c r="H693" s="22"/>
      <c r="I693" s="22"/>
      <c r="J693" s="22"/>
      <c r="K693" s="22"/>
      <c r="L693" s="2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28"/>
      <c r="B694" s="2"/>
      <c r="C694" s="2"/>
      <c r="D694" s="2"/>
      <c r="E694" s="2"/>
      <c r="F694" s="2"/>
      <c r="G694" s="2"/>
      <c r="H694" s="22"/>
      <c r="I694" s="22"/>
      <c r="J694" s="22"/>
      <c r="K694" s="22"/>
      <c r="L694" s="2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28"/>
      <c r="B695" s="2"/>
      <c r="C695" s="2"/>
      <c r="D695" s="2"/>
      <c r="E695" s="2"/>
      <c r="F695" s="2"/>
      <c r="G695" s="2"/>
      <c r="H695" s="22"/>
      <c r="I695" s="22"/>
      <c r="J695" s="22"/>
      <c r="K695" s="22"/>
      <c r="L695" s="2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28"/>
      <c r="B696" s="2"/>
      <c r="C696" s="2"/>
      <c r="D696" s="2"/>
      <c r="E696" s="2"/>
      <c r="F696" s="2"/>
      <c r="G696" s="2"/>
      <c r="H696" s="22"/>
      <c r="I696" s="22"/>
      <c r="J696" s="22"/>
      <c r="K696" s="22"/>
      <c r="L696" s="2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28"/>
      <c r="B697" s="2"/>
      <c r="C697" s="2"/>
      <c r="D697" s="2"/>
      <c r="E697" s="2"/>
      <c r="F697" s="2"/>
      <c r="G697" s="2"/>
      <c r="H697" s="22"/>
      <c r="I697" s="22"/>
      <c r="J697" s="22"/>
      <c r="K697" s="22"/>
      <c r="L697" s="2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28"/>
      <c r="B698" s="2"/>
      <c r="C698" s="2"/>
      <c r="D698" s="2"/>
      <c r="E698" s="2"/>
      <c r="F698" s="2"/>
      <c r="G698" s="2"/>
      <c r="H698" s="22"/>
      <c r="I698" s="22"/>
      <c r="J698" s="22"/>
      <c r="K698" s="22"/>
      <c r="L698" s="2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28"/>
      <c r="B699" s="2"/>
      <c r="C699" s="2"/>
      <c r="D699" s="2"/>
      <c r="E699" s="2"/>
      <c r="F699" s="2"/>
      <c r="G699" s="2"/>
      <c r="H699" s="22"/>
      <c r="I699" s="22"/>
      <c r="J699" s="22"/>
      <c r="K699" s="22"/>
      <c r="L699" s="2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28"/>
      <c r="B700" s="2"/>
      <c r="C700" s="2"/>
      <c r="D700" s="2"/>
      <c r="E700" s="2"/>
      <c r="F700" s="2"/>
      <c r="G700" s="2"/>
      <c r="H700" s="22"/>
      <c r="I700" s="22"/>
      <c r="J700" s="22"/>
      <c r="K700" s="22"/>
      <c r="L700" s="2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28"/>
      <c r="B701" s="2"/>
      <c r="C701" s="2"/>
      <c r="D701" s="2"/>
      <c r="E701" s="2"/>
      <c r="F701" s="2"/>
      <c r="G701" s="2"/>
      <c r="H701" s="22"/>
      <c r="I701" s="22"/>
      <c r="J701" s="22"/>
      <c r="K701" s="22"/>
      <c r="L701" s="2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28"/>
      <c r="B702" s="2"/>
      <c r="C702" s="2"/>
      <c r="D702" s="2"/>
      <c r="E702" s="2"/>
      <c r="F702" s="2"/>
      <c r="G702" s="2"/>
      <c r="H702" s="22"/>
      <c r="I702" s="22"/>
      <c r="J702" s="22"/>
      <c r="K702" s="22"/>
      <c r="L702" s="2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28"/>
      <c r="B703" s="2"/>
      <c r="C703" s="2"/>
      <c r="D703" s="2"/>
      <c r="E703" s="2"/>
      <c r="F703" s="2"/>
      <c r="G703" s="2"/>
      <c r="H703" s="22"/>
      <c r="I703" s="22"/>
      <c r="J703" s="22"/>
      <c r="K703" s="22"/>
      <c r="L703" s="2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28"/>
      <c r="B704" s="2"/>
      <c r="C704" s="2"/>
      <c r="D704" s="2"/>
      <c r="E704" s="2"/>
      <c r="F704" s="2"/>
      <c r="G704" s="2"/>
      <c r="H704" s="22"/>
      <c r="I704" s="22"/>
      <c r="J704" s="22"/>
      <c r="K704" s="22"/>
      <c r="L704" s="2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28"/>
      <c r="B705" s="2"/>
      <c r="C705" s="2"/>
      <c r="D705" s="2"/>
      <c r="E705" s="2"/>
      <c r="F705" s="2"/>
      <c r="G705" s="2"/>
      <c r="H705" s="22"/>
      <c r="I705" s="22"/>
      <c r="J705" s="22"/>
      <c r="K705" s="22"/>
      <c r="L705" s="2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28"/>
      <c r="B706" s="2"/>
      <c r="C706" s="2"/>
      <c r="D706" s="2"/>
      <c r="E706" s="2"/>
      <c r="F706" s="2"/>
      <c r="G706" s="2"/>
      <c r="H706" s="22"/>
      <c r="I706" s="22"/>
      <c r="J706" s="22"/>
      <c r="K706" s="22"/>
      <c r="L706" s="2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28"/>
      <c r="B707" s="2"/>
      <c r="C707" s="2"/>
      <c r="D707" s="2"/>
      <c r="E707" s="2"/>
      <c r="F707" s="2"/>
      <c r="G707" s="2"/>
      <c r="H707" s="22"/>
      <c r="I707" s="22"/>
      <c r="J707" s="22"/>
      <c r="K707" s="22"/>
      <c r="L707" s="2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28"/>
      <c r="B708" s="2"/>
      <c r="C708" s="2"/>
      <c r="D708" s="2"/>
      <c r="E708" s="2"/>
      <c r="F708" s="2"/>
      <c r="G708" s="2"/>
      <c r="H708" s="22"/>
      <c r="I708" s="22"/>
      <c r="J708" s="22"/>
      <c r="K708" s="22"/>
      <c r="L708" s="2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28"/>
      <c r="B709" s="2"/>
      <c r="C709" s="2"/>
      <c r="D709" s="2"/>
      <c r="E709" s="2"/>
      <c r="F709" s="2"/>
      <c r="G709" s="2"/>
      <c r="H709" s="22"/>
      <c r="I709" s="22"/>
      <c r="J709" s="22"/>
      <c r="K709" s="22"/>
      <c r="L709" s="2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28"/>
      <c r="B710" s="2"/>
      <c r="C710" s="2"/>
      <c r="D710" s="2"/>
      <c r="E710" s="2"/>
      <c r="F710" s="2"/>
      <c r="G710" s="2"/>
      <c r="H710" s="22"/>
      <c r="I710" s="22"/>
      <c r="J710" s="22"/>
      <c r="K710" s="22"/>
      <c r="L710" s="2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28"/>
      <c r="B711" s="2"/>
      <c r="C711" s="2"/>
      <c r="D711" s="2"/>
      <c r="E711" s="2"/>
      <c r="F711" s="2"/>
      <c r="G711" s="2"/>
      <c r="H711" s="22"/>
      <c r="I711" s="22"/>
      <c r="J711" s="22"/>
      <c r="K711" s="22"/>
      <c r="L711" s="2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28"/>
      <c r="B712" s="2"/>
      <c r="C712" s="2"/>
      <c r="D712" s="2"/>
      <c r="E712" s="2"/>
      <c r="F712" s="2"/>
      <c r="G712" s="2"/>
      <c r="H712" s="22"/>
      <c r="I712" s="22"/>
      <c r="J712" s="22"/>
      <c r="K712" s="22"/>
      <c r="L712" s="2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28"/>
      <c r="B713" s="2"/>
      <c r="C713" s="2"/>
      <c r="D713" s="2"/>
      <c r="E713" s="2"/>
      <c r="F713" s="2"/>
      <c r="G713" s="2"/>
      <c r="H713" s="22"/>
      <c r="I713" s="22"/>
      <c r="J713" s="22"/>
      <c r="K713" s="22"/>
      <c r="L713" s="2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28"/>
      <c r="B714" s="2"/>
      <c r="C714" s="2"/>
      <c r="D714" s="2"/>
      <c r="E714" s="2"/>
      <c r="F714" s="2"/>
      <c r="G714" s="2"/>
      <c r="H714" s="22"/>
      <c r="I714" s="22"/>
      <c r="J714" s="22"/>
      <c r="K714" s="22"/>
      <c r="L714" s="2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28"/>
      <c r="B715" s="2"/>
      <c r="C715" s="2"/>
      <c r="D715" s="2"/>
      <c r="E715" s="2"/>
      <c r="F715" s="2"/>
      <c r="G715" s="2"/>
      <c r="H715" s="22"/>
      <c r="I715" s="22"/>
      <c r="J715" s="22"/>
      <c r="K715" s="22"/>
      <c r="L715" s="2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28"/>
      <c r="B716" s="2"/>
      <c r="C716" s="2"/>
      <c r="D716" s="2"/>
      <c r="E716" s="2"/>
      <c r="F716" s="2"/>
      <c r="G716" s="2"/>
      <c r="H716" s="22"/>
      <c r="I716" s="22"/>
      <c r="J716" s="22"/>
      <c r="K716" s="22"/>
      <c r="L716" s="2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28"/>
      <c r="B717" s="2"/>
      <c r="C717" s="2"/>
      <c r="D717" s="2"/>
      <c r="E717" s="2"/>
      <c r="F717" s="2"/>
      <c r="G717" s="2"/>
      <c r="H717" s="22"/>
      <c r="I717" s="22"/>
      <c r="J717" s="22"/>
      <c r="K717" s="22"/>
      <c r="L717" s="2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28"/>
      <c r="B718" s="2"/>
      <c r="C718" s="2"/>
      <c r="D718" s="2"/>
      <c r="E718" s="2"/>
      <c r="F718" s="2"/>
      <c r="G718" s="2"/>
      <c r="H718" s="22"/>
      <c r="I718" s="22"/>
      <c r="J718" s="22"/>
      <c r="K718" s="22"/>
      <c r="L718" s="2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28"/>
      <c r="B719" s="2"/>
      <c r="C719" s="2"/>
      <c r="D719" s="2"/>
      <c r="E719" s="2"/>
      <c r="F719" s="2"/>
      <c r="G719" s="2"/>
      <c r="H719" s="22"/>
      <c r="I719" s="22"/>
      <c r="J719" s="22"/>
      <c r="K719" s="22"/>
      <c r="L719" s="2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28"/>
      <c r="B720" s="2"/>
      <c r="C720" s="2"/>
      <c r="D720" s="2"/>
      <c r="E720" s="2"/>
      <c r="F720" s="2"/>
      <c r="G720" s="2"/>
      <c r="H720" s="22"/>
      <c r="I720" s="22"/>
      <c r="J720" s="22"/>
      <c r="K720" s="22"/>
      <c r="L720" s="2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28"/>
      <c r="B721" s="2"/>
      <c r="C721" s="2"/>
      <c r="D721" s="2"/>
      <c r="E721" s="2"/>
      <c r="F721" s="2"/>
      <c r="G721" s="2"/>
      <c r="H721" s="22"/>
      <c r="I721" s="22"/>
      <c r="J721" s="22"/>
      <c r="K721" s="22"/>
      <c r="L721" s="2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28"/>
      <c r="B722" s="2"/>
      <c r="C722" s="2"/>
      <c r="D722" s="2"/>
      <c r="E722" s="2"/>
      <c r="F722" s="2"/>
      <c r="G722" s="2"/>
      <c r="H722" s="22"/>
      <c r="I722" s="22"/>
      <c r="J722" s="22"/>
      <c r="K722" s="22"/>
      <c r="L722" s="2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28"/>
      <c r="B723" s="2"/>
      <c r="C723" s="2"/>
      <c r="D723" s="2"/>
      <c r="E723" s="2"/>
      <c r="F723" s="2"/>
      <c r="G723" s="2"/>
      <c r="H723" s="22"/>
      <c r="I723" s="22"/>
      <c r="J723" s="22"/>
      <c r="K723" s="22"/>
      <c r="L723" s="2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28"/>
      <c r="B724" s="2"/>
      <c r="C724" s="2"/>
      <c r="D724" s="2"/>
      <c r="E724" s="2"/>
      <c r="F724" s="2"/>
      <c r="G724" s="2"/>
      <c r="H724" s="22"/>
      <c r="I724" s="22"/>
      <c r="J724" s="22"/>
      <c r="K724" s="22"/>
      <c r="L724" s="2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28"/>
      <c r="B725" s="2"/>
      <c r="C725" s="2"/>
      <c r="D725" s="2"/>
      <c r="E725" s="2"/>
      <c r="F725" s="2"/>
      <c r="G725" s="2"/>
      <c r="H725" s="22"/>
      <c r="I725" s="22"/>
      <c r="J725" s="22"/>
      <c r="K725" s="22"/>
      <c r="L725" s="2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28"/>
      <c r="B726" s="2"/>
      <c r="C726" s="2"/>
      <c r="D726" s="2"/>
      <c r="E726" s="2"/>
      <c r="F726" s="2"/>
      <c r="G726" s="2"/>
      <c r="H726" s="22"/>
      <c r="I726" s="22"/>
      <c r="J726" s="22"/>
      <c r="K726" s="22"/>
      <c r="L726" s="2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28"/>
      <c r="B727" s="2"/>
      <c r="C727" s="2"/>
      <c r="D727" s="2"/>
      <c r="E727" s="2"/>
      <c r="F727" s="2"/>
      <c r="G727" s="2"/>
      <c r="H727" s="22"/>
      <c r="I727" s="22"/>
      <c r="J727" s="22"/>
      <c r="K727" s="22"/>
      <c r="L727" s="2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28"/>
      <c r="B728" s="2"/>
      <c r="C728" s="2"/>
      <c r="D728" s="2"/>
      <c r="E728" s="2"/>
      <c r="F728" s="2"/>
      <c r="G728" s="2"/>
      <c r="H728" s="22"/>
      <c r="I728" s="22"/>
      <c r="J728" s="22"/>
      <c r="K728" s="22"/>
      <c r="L728" s="2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28"/>
      <c r="B729" s="2"/>
      <c r="C729" s="2"/>
      <c r="D729" s="2"/>
      <c r="E729" s="2"/>
      <c r="F729" s="2"/>
      <c r="G729" s="2"/>
      <c r="H729" s="22"/>
      <c r="I729" s="22"/>
      <c r="J729" s="22"/>
      <c r="K729" s="22"/>
      <c r="L729" s="2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28"/>
      <c r="B730" s="2"/>
      <c r="C730" s="2"/>
      <c r="D730" s="2"/>
      <c r="E730" s="2"/>
      <c r="F730" s="2"/>
      <c r="G730" s="2"/>
      <c r="H730" s="22"/>
      <c r="I730" s="22"/>
      <c r="J730" s="22"/>
      <c r="K730" s="22"/>
      <c r="L730" s="2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28"/>
      <c r="B731" s="2"/>
      <c r="C731" s="2"/>
      <c r="D731" s="2"/>
      <c r="E731" s="2"/>
      <c r="F731" s="2"/>
      <c r="G731" s="2"/>
      <c r="H731" s="22"/>
      <c r="I731" s="22"/>
      <c r="J731" s="22"/>
      <c r="K731" s="22"/>
      <c r="L731" s="2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128"/>
      <c r="B732" s="2"/>
      <c r="C732" s="2"/>
      <c r="D732" s="2"/>
      <c r="E732" s="2"/>
      <c r="F732" s="2"/>
      <c r="G732" s="2"/>
      <c r="H732" s="22"/>
      <c r="I732" s="22"/>
      <c r="J732" s="22"/>
      <c r="K732" s="22"/>
      <c r="L732" s="2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128"/>
      <c r="B733" s="2"/>
      <c r="C733" s="2"/>
      <c r="D733" s="2"/>
      <c r="E733" s="2"/>
      <c r="F733" s="2"/>
      <c r="G733" s="2"/>
      <c r="H733" s="22"/>
      <c r="I733" s="22"/>
      <c r="J733" s="22"/>
      <c r="K733" s="22"/>
      <c r="L733" s="2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128"/>
      <c r="B734" s="2"/>
      <c r="C734" s="2"/>
      <c r="D734" s="2"/>
      <c r="E734" s="2"/>
      <c r="F734" s="2"/>
      <c r="G734" s="2"/>
      <c r="H734" s="22"/>
      <c r="I734" s="22"/>
      <c r="J734" s="22"/>
      <c r="K734" s="22"/>
      <c r="L734" s="2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128"/>
      <c r="B735" s="2"/>
      <c r="C735" s="2"/>
      <c r="D735" s="2"/>
      <c r="E735" s="2"/>
      <c r="F735" s="2"/>
      <c r="G735" s="2"/>
      <c r="H735" s="22"/>
      <c r="I735" s="22"/>
      <c r="J735" s="22"/>
      <c r="K735" s="22"/>
      <c r="L735" s="2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128"/>
      <c r="B736" s="2"/>
      <c r="C736" s="2"/>
      <c r="D736" s="2"/>
      <c r="E736" s="2"/>
      <c r="F736" s="2"/>
      <c r="G736" s="2"/>
      <c r="H736" s="22"/>
      <c r="I736" s="22"/>
      <c r="J736" s="22"/>
      <c r="K736" s="22"/>
      <c r="L736" s="2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128"/>
      <c r="B737" s="2"/>
      <c r="C737" s="2"/>
      <c r="D737" s="2"/>
      <c r="E737" s="2"/>
      <c r="F737" s="2"/>
      <c r="G737" s="2"/>
      <c r="H737" s="22"/>
      <c r="I737" s="22"/>
      <c r="J737" s="22"/>
      <c r="K737" s="22"/>
      <c r="L737" s="2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128"/>
      <c r="B738" s="2"/>
      <c r="C738" s="2"/>
      <c r="D738" s="2"/>
      <c r="E738" s="2"/>
      <c r="F738" s="2"/>
      <c r="G738" s="2"/>
      <c r="H738" s="22"/>
      <c r="I738" s="22"/>
      <c r="J738" s="22"/>
      <c r="K738" s="22"/>
      <c r="L738" s="2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128"/>
      <c r="B739" s="2"/>
      <c r="C739" s="2"/>
      <c r="D739" s="2"/>
      <c r="E739" s="2"/>
      <c r="F739" s="2"/>
      <c r="G739" s="2"/>
      <c r="H739" s="22"/>
      <c r="I739" s="22"/>
      <c r="J739" s="22"/>
      <c r="K739" s="22"/>
      <c r="L739" s="2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128"/>
      <c r="B740" s="2"/>
      <c r="C740" s="2"/>
      <c r="D740" s="2"/>
      <c r="E740" s="2"/>
      <c r="F740" s="2"/>
      <c r="G740" s="2"/>
      <c r="H740" s="22"/>
      <c r="I740" s="22"/>
      <c r="J740" s="22"/>
      <c r="K740" s="22"/>
      <c r="L740" s="2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128"/>
      <c r="B741" s="2"/>
      <c r="C741" s="2"/>
      <c r="D741" s="2"/>
      <c r="E741" s="2"/>
      <c r="F741" s="2"/>
      <c r="G741" s="2"/>
      <c r="H741" s="22"/>
      <c r="I741" s="22"/>
      <c r="J741" s="22"/>
      <c r="K741" s="22"/>
      <c r="L741" s="2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128"/>
      <c r="B742" s="2"/>
      <c r="C742" s="2"/>
      <c r="D742" s="2"/>
      <c r="E742" s="2"/>
      <c r="F742" s="2"/>
      <c r="G742" s="2"/>
      <c r="H742" s="22"/>
      <c r="I742" s="22"/>
      <c r="J742" s="22"/>
      <c r="K742" s="22"/>
      <c r="L742" s="2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128"/>
      <c r="B743" s="2"/>
      <c r="C743" s="2"/>
      <c r="D743" s="2"/>
      <c r="E743" s="2"/>
      <c r="F743" s="2"/>
      <c r="G743" s="2"/>
      <c r="H743" s="22"/>
      <c r="I743" s="22"/>
      <c r="J743" s="22"/>
      <c r="K743" s="22"/>
      <c r="L743" s="2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128"/>
      <c r="B744" s="2"/>
      <c r="C744" s="2"/>
      <c r="D744" s="2"/>
      <c r="E744" s="2"/>
      <c r="F744" s="2"/>
      <c r="G744" s="2"/>
      <c r="H744" s="22"/>
      <c r="I744" s="22"/>
      <c r="J744" s="22"/>
      <c r="K744" s="22"/>
      <c r="L744" s="2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128"/>
      <c r="B745" s="2"/>
      <c r="C745" s="2"/>
      <c r="D745" s="2"/>
      <c r="E745" s="2"/>
      <c r="F745" s="2"/>
      <c r="G745" s="2"/>
      <c r="H745" s="22"/>
      <c r="I745" s="22"/>
      <c r="J745" s="22"/>
      <c r="K745" s="22"/>
      <c r="L745" s="2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128"/>
      <c r="B746" s="2"/>
      <c r="C746" s="2"/>
      <c r="D746" s="2"/>
      <c r="E746" s="2"/>
      <c r="F746" s="2"/>
      <c r="G746" s="2"/>
      <c r="H746" s="22"/>
      <c r="I746" s="22"/>
      <c r="J746" s="22"/>
      <c r="K746" s="22"/>
      <c r="L746" s="2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128"/>
      <c r="B747" s="2"/>
      <c r="C747" s="2"/>
      <c r="D747" s="2"/>
      <c r="E747" s="2"/>
      <c r="F747" s="2"/>
      <c r="G747" s="2"/>
      <c r="H747" s="22"/>
      <c r="I747" s="22"/>
      <c r="J747" s="22"/>
      <c r="K747" s="22"/>
      <c r="L747" s="2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128"/>
      <c r="B748" s="2"/>
      <c r="C748" s="2"/>
      <c r="D748" s="2"/>
      <c r="E748" s="2"/>
      <c r="F748" s="2"/>
      <c r="G748" s="2"/>
      <c r="H748" s="22"/>
      <c r="I748" s="22"/>
      <c r="J748" s="22"/>
      <c r="K748" s="22"/>
      <c r="L748" s="2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128"/>
      <c r="B749" s="2"/>
      <c r="C749" s="2"/>
      <c r="D749" s="2"/>
      <c r="E749" s="2"/>
      <c r="F749" s="2"/>
      <c r="G749" s="2"/>
      <c r="H749" s="22"/>
      <c r="I749" s="22"/>
      <c r="J749" s="22"/>
      <c r="K749" s="22"/>
      <c r="L749" s="2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128"/>
      <c r="B750" s="2"/>
      <c r="C750" s="2"/>
      <c r="D750" s="2"/>
      <c r="E750" s="2"/>
      <c r="F750" s="2"/>
      <c r="G750" s="2"/>
      <c r="H750" s="22"/>
      <c r="I750" s="22"/>
      <c r="J750" s="22"/>
      <c r="K750" s="22"/>
      <c r="L750" s="2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128"/>
      <c r="B751" s="2"/>
      <c r="C751" s="2"/>
      <c r="D751" s="2"/>
      <c r="E751" s="2"/>
      <c r="F751" s="2"/>
      <c r="G751" s="2"/>
      <c r="H751" s="22"/>
      <c r="I751" s="22"/>
      <c r="J751" s="22"/>
      <c r="K751" s="22"/>
      <c r="L751" s="2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128"/>
      <c r="B752" s="2"/>
      <c r="C752" s="2"/>
      <c r="D752" s="2"/>
      <c r="E752" s="2"/>
      <c r="F752" s="2"/>
      <c r="G752" s="2"/>
      <c r="H752" s="22"/>
      <c r="I752" s="22"/>
      <c r="J752" s="22"/>
      <c r="K752" s="22"/>
      <c r="L752" s="2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128"/>
      <c r="B753" s="2"/>
      <c r="C753" s="2"/>
      <c r="D753" s="2"/>
      <c r="E753" s="2"/>
      <c r="F753" s="2"/>
      <c r="G753" s="2"/>
      <c r="H753" s="22"/>
      <c r="I753" s="22"/>
      <c r="J753" s="22"/>
      <c r="K753" s="22"/>
      <c r="L753" s="2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128"/>
      <c r="B754" s="2"/>
      <c r="C754" s="2"/>
      <c r="D754" s="2"/>
      <c r="E754" s="2"/>
      <c r="F754" s="2"/>
      <c r="G754" s="2"/>
      <c r="H754" s="22"/>
      <c r="I754" s="22"/>
      <c r="J754" s="22"/>
      <c r="K754" s="22"/>
      <c r="L754" s="2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128"/>
      <c r="B755" s="2"/>
      <c r="C755" s="2"/>
      <c r="D755" s="2"/>
      <c r="E755" s="2"/>
      <c r="F755" s="2"/>
      <c r="G755" s="2"/>
      <c r="H755" s="22"/>
      <c r="I755" s="22"/>
      <c r="J755" s="22"/>
      <c r="K755" s="22"/>
      <c r="L755" s="2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128"/>
      <c r="B756" s="2"/>
      <c r="C756" s="2"/>
      <c r="D756" s="2"/>
      <c r="E756" s="2"/>
      <c r="F756" s="2"/>
      <c r="G756" s="2"/>
      <c r="H756" s="22"/>
      <c r="I756" s="22"/>
      <c r="J756" s="22"/>
      <c r="K756" s="22"/>
      <c r="L756" s="2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128"/>
      <c r="B757" s="2"/>
      <c r="C757" s="2"/>
      <c r="D757" s="2"/>
      <c r="E757" s="2"/>
      <c r="F757" s="2"/>
      <c r="G757" s="2"/>
      <c r="H757" s="22"/>
      <c r="I757" s="22"/>
      <c r="J757" s="22"/>
      <c r="K757" s="22"/>
      <c r="L757" s="2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128"/>
      <c r="B758" s="2"/>
      <c r="C758" s="2"/>
      <c r="D758" s="2"/>
      <c r="E758" s="2"/>
      <c r="F758" s="2"/>
      <c r="G758" s="2"/>
      <c r="H758" s="22"/>
      <c r="I758" s="22"/>
      <c r="J758" s="22"/>
      <c r="K758" s="22"/>
      <c r="L758" s="2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128"/>
      <c r="B759" s="2"/>
      <c r="C759" s="2"/>
      <c r="D759" s="2"/>
      <c r="E759" s="2"/>
      <c r="F759" s="2"/>
      <c r="G759" s="2"/>
      <c r="H759" s="22"/>
      <c r="I759" s="22"/>
      <c r="J759" s="22"/>
      <c r="K759" s="22"/>
      <c r="L759" s="2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128"/>
      <c r="B760" s="2"/>
      <c r="C760" s="2"/>
      <c r="D760" s="2"/>
      <c r="E760" s="2"/>
      <c r="F760" s="2"/>
      <c r="G760" s="2"/>
      <c r="H760" s="22"/>
      <c r="I760" s="22"/>
      <c r="J760" s="22"/>
      <c r="K760" s="22"/>
      <c r="L760" s="2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128"/>
      <c r="B761" s="2"/>
      <c r="C761" s="2"/>
      <c r="D761" s="2"/>
      <c r="E761" s="2"/>
      <c r="F761" s="2"/>
      <c r="G761" s="2"/>
      <c r="H761" s="22"/>
      <c r="I761" s="22"/>
      <c r="J761" s="22"/>
      <c r="K761" s="22"/>
      <c r="L761" s="2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128"/>
      <c r="B762" s="2"/>
      <c r="C762" s="2"/>
      <c r="D762" s="2"/>
      <c r="E762" s="2"/>
      <c r="F762" s="2"/>
      <c r="G762" s="2"/>
      <c r="H762" s="22"/>
      <c r="I762" s="22"/>
      <c r="J762" s="22"/>
      <c r="K762" s="22"/>
      <c r="L762" s="2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128"/>
      <c r="B763" s="2"/>
      <c r="C763" s="2"/>
      <c r="D763" s="2"/>
      <c r="E763" s="2"/>
      <c r="F763" s="2"/>
      <c r="G763" s="2"/>
      <c r="H763" s="22"/>
      <c r="I763" s="22"/>
      <c r="J763" s="22"/>
      <c r="K763" s="22"/>
      <c r="L763" s="2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128"/>
      <c r="B764" s="2"/>
      <c r="C764" s="2"/>
      <c r="D764" s="2"/>
      <c r="E764" s="2"/>
      <c r="F764" s="2"/>
      <c r="G764" s="2"/>
      <c r="H764" s="22"/>
      <c r="I764" s="22"/>
      <c r="J764" s="22"/>
      <c r="K764" s="22"/>
      <c r="L764" s="2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128"/>
      <c r="B765" s="2"/>
      <c r="C765" s="2"/>
      <c r="D765" s="2"/>
      <c r="E765" s="2"/>
      <c r="F765" s="2"/>
      <c r="G765" s="2"/>
      <c r="H765" s="22"/>
      <c r="I765" s="22"/>
      <c r="J765" s="22"/>
      <c r="K765" s="22"/>
      <c r="L765" s="2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128"/>
      <c r="B766" s="2"/>
      <c r="C766" s="2"/>
      <c r="D766" s="2"/>
      <c r="E766" s="2"/>
      <c r="F766" s="2"/>
      <c r="G766" s="2"/>
      <c r="H766" s="22"/>
      <c r="I766" s="22"/>
      <c r="J766" s="22"/>
      <c r="K766" s="22"/>
      <c r="L766" s="2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128"/>
      <c r="B767" s="2"/>
      <c r="C767" s="2"/>
      <c r="D767" s="2"/>
      <c r="E767" s="2"/>
      <c r="F767" s="2"/>
      <c r="G767" s="2"/>
      <c r="H767" s="22"/>
      <c r="I767" s="22"/>
      <c r="J767" s="22"/>
      <c r="K767" s="22"/>
      <c r="L767" s="2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128"/>
      <c r="B768" s="2"/>
      <c r="C768" s="2"/>
      <c r="D768" s="2"/>
      <c r="E768" s="2"/>
      <c r="F768" s="2"/>
      <c r="G768" s="2"/>
      <c r="H768" s="22"/>
      <c r="I768" s="22"/>
      <c r="J768" s="22"/>
      <c r="K768" s="22"/>
      <c r="L768" s="2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128"/>
      <c r="B769" s="2"/>
      <c r="C769" s="2"/>
      <c r="D769" s="2"/>
      <c r="E769" s="2"/>
      <c r="F769" s="2"/>
      <c r="G769" s="2"/>
      <c r="H769" s="22"/>
      <c r="I769" s="22"/>
      <c r="J769" s="22"/>
      <c r="K769" s="22"/>
      <c r="L769" s="2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128"/>
      <c r="B770" s="2"/>
      <c r="C770" s="2"/>
      <c r="D770" s="2"/>
      <c r="E770" s="2"/>
      <c r="F770" s="2"/>
      <c r="G770" s="2"/>
      <c r="H770" s="22"/>
      <c r="I770" s="22"/>
      <c r="J770" s="22"/>
      <c r="K770" s="22"/>
      <c r="L770" s="2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128"/>
      <c r="B771" s="2"/>
      <c r="C771" s="2"/>
      <c r="D771" s="2"/>
      <c r="E771" s="2"/>
      <c r="F771" s="2"/>
      <c r="G771" s="2"/>
      <c r="H771" s="22"/>
      <c r="I771" s="22"/>
      <c r="J771" s="22"/>
      <c r="K771" s="22"/>
      <c r="L771" s="2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128"/>
      <c r="B772" s="2"/>
      <c r="C772" s="2"/>
      <c r="D772" s="2"/>
      <c r="E772" s="2"/>
      <c r="F772" s="2"/>
      <c r="G772" s="2"/>
      <c r="H772" s="22"/>
      <c r="I772" s="22"/>
      <c r="J772" s="22"/>
      <c r="K772" s="22"/>
      <c r="L772" s="2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128"/>
      <c r="B773" s="2"/>
      <c r="C773" s="2"/>
      <c r="D773" s="2"/>
      <c r="E773" s="2"/>
      <c r="F773" s="2"/>
      <c r="G773" s="2"/>
      <c r="H773" s="22"/>
      <c r="I773" s="22"/>
      <c r="J773" s="22"/>
      <c r="K773" s="22"/>
      <c r="L773" s="2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128"/>
      <c r="B774" s="2"/>
      <c r="C774" s="2"/>
      <c r="D774" s="2"/>
      <c r="E774" s="2"/>
      <c r="F774" s="2"/>
      <c r="G774" s="2"/>
      <c r="H774" s="22"/>
      <c r="I774" s="22"/>
      <c r="J774" s="22"/>
      <c r="K774" s="22"/>
      <c r="L774" s="2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128"/>
      <c r="B775" s="2"/>
      <c r="C775" s="2"/>
      <c r="D775" s="2"/>
      <c r="E775" s="2"/>
      <c r="F775" s="2"/>
      <c r="G775" s="2"/>
      <c r="H775" s="22"/>
      <c r="I775" s="22"/>
      <c r="J775" s="22"/>
      <c r="K775" s="22"/>
      <c r="L775" s="2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128"/>
      <c r="B776" s="2"/>
      <c r="C776" s="2"/>
      <c r="D776" s="2"/>
      <c r="E776" s="2"/>
      <c r="F776" s="2"/>
      <c r="G776" s="2"/>
      <c r="H776" s="22"/>
      <c r="I776" s="22"/>
      <c r="J776" s="22"/>
      <c r="K776" s="22"/>
      <c r="L776" s="2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128"/>
      <c r="B777" s="2"/>
      <c r="C777" s="2"/>
      <c r="D777" s="2"/>
      <c r="E777" s="2"/>
      <c r="F777" s="2"/>
      <c r="G777" s="2"/>
      <c r="H777" s="22"/>
      <c r="I777" s="22"/>
      <c r="J777" s="22"/>
      <c r="K777" s="22"/>
      <c r="L777" s="2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128"/>
      <c r="B778" s="2"/>
      <c r="C778" s="2"/>
      <c r="D778" s="2"/>
      <c r="E778" s="2"/>
      <c r="F778" s="2"/>
      <c r="G778" s="2"/>
      <c r="H778" s="22"/>
      <c r="I778" s="22"/>
      <c r="J778" s="22"/>
      <c r="K778" s="22"/>
      <c r="L778" s="2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128"/>
      <c r="B779" s="2"/>
      <c r="C779" s="2"/>
      <c r="D779" s="2"/>
      <c r="E779" s="2"/>
      <c r="F779" s="2"/>
      <c r="G779" s="2"/>
      <c r="H779" s="22"/>
      <c r="I779" s="22"/>
      <c r="J779" s="22"/>
      <c r="K779" s="22"/>
      <c r="L779" s="2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128"/>
      <c r="B780" s="2"/>
      <c r="C780" s="2"/>
      <c r="D780" s="2"/>
      <c r="E780" s="2"/>
      <c r="F780" s="2"/>
      <c r="G780" s="2"/>
      <c r="H780" s="22"/>
      <c r="I780" s="22"/>
      <c r="J780" s="22"/>
      <c r="K780" s="22"/>
      <c r="L780" s="2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128"/>
      <c r="B781" s="2"/>
      <c r="C781" s="2"/>
      <c r="D781" s="2"/>
      <c r="E781" s="2"/>
      <c r="F781" s="2"/>
      <c r="G781" s="2"/>
      <c r="H781" s="22"/>
      <c r="I781" s="22"/>
      <c r="J781" s="22"/>
      <c r="K781" s="22"/>
      <c r="L781" s="2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128"/>
      <c r="B782" s="2"/>
      <c r="C782" s="2"/>
      <c r="D782" s="2"/>
      <c r="E782" s="2"/>
      <c r="F782" s="2"/>
      <c r="G782" s="2"/>
      <c r="H782" s="22"/>
      <c r="I782" s="22"/>
      <c r="J782" s="22"/>
      <c r="K782" s="22"/>
      <c r="L782" s="2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128"/>
      <c r="B783" s="2"/>
      <c r="C783" s="2"/>
      <c r="D783" s="2"/>
      <c r="E783" s="2"/>
      <c r="F783" s="2"/>
      <c r="G783" s="2"/>
      <c r="H783" s="22"/>
      <c r="I783" s="22"/>
      <c r="J783" s="22"/>
      <c r="K783" s="22"/>
      <c r="L783" s="2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128"/>
      <c r="B784" s="2"/>
      <c r="C784" s="2"/>
      <c r="D784" s="2"/>
      <c r="E784" s="2"/>
      <c r="F784" s="2"/>
      <c r="G784" s="2"/>
      <c r="H784" s="22"/>
      <c r="I784" s="22"/>
      <c r="J784" s="22"/>
      <c r="K784" s="22"/>
      <c r="L784" s="2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128"/>
      <c r="B785" s="2"/>
      <c r="C785" s="2"/>
      <c r="D785" s="2"/>
      <c r="E785" s="2"/>
      <c r="F785" s="2"/>
      <c r="G785" s="2"/>
      <c r="H785" s="22"/>
      <c r="I785" s="22"/>
      <c r="J785" s="22"/>
      <c r="K785" s="22"/>
      <c r="L785" s="2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128"/>
      <c r="B786" s="2"/>
      <c r="C786" s="2"/>
      <c r="D786" s="2"/>
      <c r="E786" s="2"/>
      <c r="F786" s="2"/>
      <c r="G786" s="2"/>
      <c r="H786" s="22"/>
      <c r="I786" s="22"/>
      <c r="J786" s="22"/>
      <c r="K786" s="22"/>
      <c r="L786" s="2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128"/>
      <c r="B787" s="2"/>
      <c r="C787" s="2"/>
      <c r="D787" s="2"/>
      <c r="E787" s="2"/>
      <c r="F787" s="2"/>
      <c r="G787" s="2"/>
      <c r="H787" s="22"/>
      <c r="I787" s="22"/>
      <c r="J787" s="22"/>
      <c r="K787" s="22"/>
      <c r="L787" s="2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128"/>
      <c r="B788" s="2"/>
      <c r="C788" s="2"/>
      <c r="D788" s="2"/>
      <c r="E788" s="2"/>
      <c r="F788" s="2"/>
      <c r="G788" s="2"/>
      <c r="H788" s="22"/>
      <c r="I788" s="22"/>
      <c r="J788" s="22"/>
      <c r="K788" s="22"/>
      <c r="L788" s="2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128"/>
      <c r="B789" s="2"/>
      <c r="C789" s="2"/>
      <c r="D789" s="2"/>
      <c r="E789" s="2"/>
      <c r="F789" s="2"/>
      <c r="G789" s="2"/>
      <c r="H789" s="22"/>
      <c r="I789" s="22"/>
      <c r="J789" s="22"/>
      <c r="K789" s="22"/>
      <c r="L789" s="2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128"/>
      <c r="B790" s="2"/>
      <c r="C790" s="2"/>
      <c r="D790" s="2"/>
      <c r="E790" s="2"/>
      <c r="F790" s="2"/>
      <c r="G790" s="2"/>
      <c r="H790" s="22"/>
      <c r="I790" s="22"/>
      <c r="J790" s="22"/>
      <c r="K790" s="22"/>
      <c r="L790" s="2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128"/>
      <c r="B791" s="2"/>
      <c r="C791" s="2"/>
      <c r="D791" s="2"/>
      <c r="E791" s="2"/>
      <c r="F791" s="2"/>
      <c r="G791" s="2"/>
      <c r="H791" s="22"/>
      <c r="I791" s="22"/>
      <c r="J791" s="22"/>
      <c r="K791" s="22"/>
      <c r="L791" s="2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128"/>
      <c r="B792" s="2"/>
      <c r="C792" s="2"/>
      <c r="D792" s="2"/>
      <c r="E792" s="2"/>
      <c r="F792" s="2"/>
      <c r="G792" s="2"/>
      <c r="H792" s="22"/>
      <c r="I792" s="22"/>
      <c r="J792" s="22"/>
      <c r="K792" s="22"/>
      <c r="L792" s="2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128"/>
      <c r="B793" s="2"/>
      <c r="C793" s="2"/>
      <c r="D793" s="2"/>
      <c r="E793" s="2"/>
      <c r="F793" s="2"/>
      <c r="G793" s="2"/>
      <c r="H793" s="22"/>
      <c r="I793" s="22"/>
      <c r="J793" s="22"/>
      <c r="K793" s="22"/>
      <c r="L793" s="2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128"/>
      <c r="B794" s="2"/>
      <c r="C794" s="2"/>
      <c r="D794" s="2"/>
      <c r="E794" s="2"/>
      <c r="F794" s="2"/>
      <c r="G794" s="2"/>
      <c r="H794" s="22"/>
      <c r="I794" s="22"/>
      <c r="J794" s="22"/>
      <c r="K794" s="22"/>
      <c r="L794" s="2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128"/>
      <c r="B795" s="2"/>
      <c r="C795" s="2"/>
      <c r="D795" s="2"/>
      <c r="E795" s="2"/>
      <c r="F795" s="2"/>
      <c r="G795" s="2"/>
      <c r="H795" s="22"/>
      <c r="I795" s="22"/>
      <c r="J795" s="22"/>
      <c r="K795" s="22"/>
      <c r="L795" s="2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128"/>
      <c r="B796" s="2"/>
      <c r="C796" s="2"/>
      <c r="D796" s="2"/>
      <c r="E796" s="2"/>
      <c r="F796" s="2"/>
      <c r="G796" s="2"/>
      <c r="H796" s="22"/>
      <c r="I796" s="22"/>
      <c r="J796" s="22"/>
      <c r="K796" s="22"/>
      <c r="L796" s="2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128"/>
      <c r="B797" s="2"/>
      <c r="C797" s="2"/>
      <c r="D797" s="2"/>
      <c r="E797" s="2"/>
      <c r="F797" s="2"/>
      <c r="G797" s="2"/>
      <c r="H797" s="22"/>
      <c r="I797" s="22"/>
      <c r="J797" s="22"/>
      <c r="K797" s="22"/>
      <c r="L797" s="2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128"/>
      <c r="B798" s="2"/>
      <c r="C798" s="2"/>
      <c r="D798" s="2"/>
      <c r="E798" s="2"/>
      <c r="F798" s="2"/>
      <c r="G798" s="2"/>
      <c r="H798" s="22"/>
      <c r="I798" s="22"/>
      <c r="J798" s="22"/>
      <c r="K798" s="22"/>
      <c r="L798" s="2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128"/>
      <c r="B799" s="2"/>
      <c r="C799" s="2"/>
      <c r="D799" s="2"/>
      <c r="E799" s="2"/>
      <c r="F799" s="2"/>
      <c r="G799" s="2"/>
      <c r="H799" s="22"/>
      <c r="I799" s="22"/>
      <c r="J799" s="22"/>
      <c r="K799" s="22"/>
      <c r="L799" s="2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128"/>
      <c r="B800" s="2"/>
      <c r="C800" s="2"/>
      <c r="D800" s="2"/>
      <c r="E800" s="2"/>
      <c r="F800" s="2"/>
      <c r="G800" s="2"/>
      <c r="H800" s="22"/>
      <c r="I800" s="22"/>
      <c r="J800" s="22"/>
      <c r="K800" s="22"/>
      <c r="L800" s="2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128"/>
      <c r="B801" s="2"/>
      <c r="C801" s="2"/>
      <c r="D801" s="2"/>
      <c r="E801" s="2"/>
      <c r="F801" s="2"/>
      <c r="G801" s="2"/>
      <c r="H801" s="22"/>
      <c r="I801" s="22"/>
      <c r="J801" s="22"/>
      <c r="K801" s="22"/>
      <c r="L801" s="2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128"/>
      <c r="B802" s="2"/>
      <c r="C802" s="2"/>
      <c r="D802" s="2"/>
      <c r="E802" s="2"/>
      <c r="F802" s="2"/>
      <c r="G802" s="2"/>
      <c r="H802" s="22"/>
      <c r="I802" s="22"/>
      <c r="J802" s="22"/>
      <c r="K802" s="22"/>
      <c r="L802" s="2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128"/>
      <c r="B803" s="2"/>
      <c r="C803" s="2"/>
      <c r="D803" s="2"/>
      <c r="E803" s="2"/>
      <c r="F803" s="2"/>
      <c r="G803" s="2"/>
      <c r="H803" s="22"/>
      <c r="I803" s="22"/>
      <c r="J803" s="22"/>
      <c r="K803" s="22"/>
      <c r="L803" s="2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128"/>
      <c r="B804" s="2"/>
      <c r="C804" s="2"/>
      <c r="D804" s="2"/>
      <c r="E804" s="2"/>
      <c r="F804" s="2"/>
      <c r="G804" s="2"/>
      <c r="H804" s="22"/>
      <c r="I804" s="22"/>
      <c r="J804" s="22"/>
      <c r="K804" s="22"/>
      <c r="L804" s="2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128"/>
      <c r="B805" s="2"/>
      <c r="C805" s="2"/>
      <c r="D805" s="2"/>
      <c r="E805" s="2"/>
      <c r="F805" s="2"/>
      <c r="G805" s="2"/>
      <c r="H805" s="22"/>
      <c r="I805" s="22"/>
      <c r="J805" s="22"/>
      <c r="K805" s="22"/>
      <c r="L805" s="2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128"/>
      <c r="B806" s="2"/>
      <c r="C806" s="2"/>
      <c r="D806" s="2"/>
      <c r="E806" s="2"/>
      <c r="F806" s="2"/>
      <c r="G806" s="2"/>
      <c r="H806" s="22"/>
      <c r="I806" s="22"/>
      <c r="J806" s="22"/>
      <c r="K806" s="22"/>
      <c r="L806" s="2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128"/>
      <c r="B807" s="2"/>
      <c r="C807" s="2"/>
      <c r="D807" s="2"/>
      <c r="E807" s="2"/>
      <c r="F807" s="2"/>
      <c r="G807" s="2"/>
      <c r="H807" s="22"/>
      <c r="I807" s="22"/>
      <c r="J807" s="22"/>
      <c r="K807" s="22"/>
      <c r="L807" s="2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128"/>
      <c r="B808" s="2"/>
      <c r="C808" s="2"/>
      <c r="D808" s="2"/>
      <c r="E808" s="2"/>
      <c r="F808" s="2"/>
      <c r="G808" s="2"/>
      <c r="H808" s="22"/>
      <c r="I808" s="22"/>
      <c r="J808" s="22"/>
      <c r="K808" s="22"/>
      <c r="L808" s="2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128"/>
      <c r="B809" s="2"/>
      <c r="C809" s="2"/>
      <c r="D809" s="2"/>
      <c r="E809" s="2"/>
      <c r="F809" s="2"/>
      <c r="G809" s="2"/>
      <c r="H809" s="22"/>
      <c r="I809" s="22"/>
      <c r="J809" s="22"/>
      <c r="K809" s="22"/>
      <c r="L809" s="2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128"/>
      <c r="B810" s="2"/>
      <c r="C810" s="2"/>
      <c r="D810" s="2"/>
      <c r="E810" s="2"/>
      <c r="F810" s="2"/>
      <c r="G810" s="2"/>
      <c r="H810" s="22"/>
      <c r="I810" s="22"/>
      <c r="J810" s="22"/>
      <c r="K810" s="22"/>
      <c r="L810" s="2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128"/>
      <c r="B811" s="2"/>
      <c r="C811" s="2"/>
      <c r="D811" s="2"/>
      <c r="E811" s="2"/>
      <c r="F811" s="2"/>
      <c r="G811" s="2"/>
      <c r="H811" s="22"/>
      <c r="I811" s="22"/>
      <c r="J811" s="22"/>
      <c r="K811" s="22"/>
      <c r="L811" s="2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128"/>
      <c r="B812" s="2"/>
      <c r="C812" s="2"/>
      <c r="D812" s="2"/>
      <c r="E812" s="2"/>
      <c r="F812" s="2"/>
      <c r="G812" s="2"/>
      <c r="H812" s="22"/>
      <c r="I812" s="22"/>
      <c r="J812" s="22"/>
      <c r="K812" s="22"/>
      <c r="L812" s="2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128"/>
      <c r="B813" s="2"/>
      <c r="C813" s="2"/>
      <c r="D813" s="2"/>
      <c r="E813" s="2"/>
      <c r="F813" s="2"/>
      <c r="G813" s="2"/>
      <c r="H813" s="22"/>
      <c r="I813" s="22"/>
      <c r="J813" s="22"/>
      <c r="K813" s="22"/>
      <c r="L813" s="2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128"/>
      <c r="B814" s="2"/>
      <c r="C814" s="2"/>
      <c r="D814" s="2"/>
      <c r="E814" s="2"/>
      <c r="F814" s="2"/>
      <c r="G814" s="2"/>
      <c r="H814" s="22"/>
      <c r="I814" s="22"/>
      <c r="J814" s="22"/>
      <c r="K814" s="22"/>
      <c r="L814" s="2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128"/>
      <c r="B815" s="2"/>
      <c r="C815" s="2"/>
      <c r="D815" s="2"/>
      <c r="E815" s="2"/>
      <c r="F815" s="2"/>
      <c r="G815" s="2"/>
      <c r="H815" s="22"/>
      <c r="I815" s="22"/>
      <c r="J815" s="22"/>
      <c r="K815" s="22"/>
      <c r="L815" s="2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128"/>
      <c r="B816" s="2"/>
      <c r="C816" s="2"/>
      <c r="D816" s="2"/>
      <c r="E816" s="2"/>
      <c r="F816" s="2"/>
      <c r="G816" s="2"/>
      <c r="H816" s="22"/>
      <c r="I816" s="22"/>
      <c r="J816" s="22"/>
      <c r="K816" s="22"/>
      <c r="L816" s="2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128"/>
      <c r="B817" s="2"/>
      <c r="C817" s="2"/>
      <c r="D817" s="2"/>
      <c r="E817" s="2"/>
      <c r="F817" s="2"/>
      <c r="G817" s="2"/>
      <c r="H817" s="22"/>
      <c r="I817" s="22"/>
      <c r="J817" s="22"/>
      <c r="K817" s="22"/>
      <c r="L817" s="2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128"/>
      <c r="B818" s="2"/>
      <c r="C818" s="2"/>
      <c r="D818" s="2"/>
      <c r="E818" s="2"/>
      <c r="F818" s="2"/>
      <c r="G818" s="2"/>
      <c r="H818" s="22"/>
      <c r="I818" s="22"/>
      <c r="J818" s="22"/>
      <c r="K818" s="22"/>
      <c r="L818" s="2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128"/>
      <c r="B819" s="2"/>
      <c r="C819" s="2"/>
      <c r="D819" s="2"/>
      <c r="E819" s="2"/>
      <c r="F819" s="2"/>
      <c r="G819" s="2"/>
      <c r="H819" s="22"/>
      <c r="I819" s="22"/>
      <c r="J819" s="22"/>
      <c r="K819" s="22"/>
      <c r="L819" s="2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128"/>
      <c r="B820" s="2"/>
      <c r="C820" s="2"/>
      <c r="D820" s="2"/>
      <c r="E820" s="2"/>
      <c r="F820" s="2"/>
      <c r="G820" s="2"/>
      <c r="H820" s="22"/>
      <c r="I820" s="22"/>
      <c r="J820" s="22"/>
      <c r="K820" s="22"/>
      <c r="L820" s="2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128"/>
      <c r="B821" s="2"/>
      <c r="C821" s="2"/>
      <c r="D821" s="2"/>
      <c r="E821" s="2"/>
      <c r="F821" s="2"/>
      <c r="G821" s="2"/>
      <c r="H821" s="22"/>
      <c r="I821" s="22"/>
      <c r="J821" s="22"/>
      <c r="K821" s="22"/>
      <c r="L821" s="2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128"/>
      <c r="B822" s="2"/>
      <c r="C822" s="2"/>
      <c r="D822" s="2"/>
      <c r="E822" s="2"/>
      <c r="F822" s="2"/>
      <c r="G822" s="2"/>
      <c r="H822" s="22"/>
      <c r="I822" s="22"/>
      <c r="J822" s="22"/>
      <c r="K822" s="22"/>
      <c r="L822" s="2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128"/>
      <c r="B823" s="2"/>
      <c r="C823" s="2"/>
      <c r="D823" s="2"/>
      <c r="E823" s="2"/>
      <c r="F823" s="2"/>
      <c r="G823" s="2"/>
      <c r="H823" s="22"/>
      <c r="I823" s="22"/>
      <c r="J823" s="22"/>
      <c r="K823" s="22"/>
      <c r="L823" s="2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128"/>
      <c r="B824" s="2"/>
      <c r="C824" s="2"/>
      <c r="D824" s="2"/>
      <c r="E824" s="2"/>
      <c r="F824" s="2"/>
      <c r="G824" s="2"/>
      <c r="H824" s="22"/>
      <c r="I824" s="22"/>
      <c r="J824" s="22"/>
      <c r="K824" s="22"/>
      <c r="L824" s="2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128"/>
      <c r="B825" s="2"/>
      <c r="C825" s="2"/>
      <c r="D825" s="2"/>
      <c r="E825" s="2"/>
      <c r="F825" s="2"/>
      <c r="G825" s="2"/>
      <c r="H825" s="22"/>
      <c r="I825" s="22"/>
      <c r="J825" s="22"/>
      <c r="K825" s="22"/>
      <c r="L825" s="2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128"/>
      <c r="B826" s="2"/>
      <c r="C826" s="2"/>
      <c r="D826" s="2"/>
      <c r="E826" s="2"/>
      <c r="F826" s="2"/>
      <c r="G826" s="2"/>
      <c r="H826" s="22"/>
      <c r="I826" s="22"/>
      <c r="J826" s="22"/>
      <c r="K826" s="22"/>
      <c r="L826" s="2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128"/>
      <c r="B827" s="2"/>
      <c r="C827" s="2"/>
      <c r="D827" s="2"/>
      <c r="E827" s="2"/>
      <c r="F827" s="2"/>
      <c r="G827" s="2"/>
      <c r="H827" s="22"/>
      <c r="I827" s="22"/>
      <c r="J827" s="22"/>
      <c r="K827" s="22"/>
      <c r="L827" s="2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128"/>
      <c r="B828" s="2"/>
      <c r="C828" s="2"/>
      <c r="D828" s="2"/>
      <c r="E828" s="2"/>
      <c r="F828" s="2"/>
      <c r="G828" s="2"/>
      <c r="H828" s="22"/>
      <c r="I828" s="22"/>
      <c r="J828" s="22"/>
      <c r="K828" s="22"/>
      <c r="L828" s="2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128"/>
      <c r="B829" s="2"/>
      <c r="C829" s="2"/>
      <c r="D829" s="2"/>
      <c r="E829" s="2"/>
      <c r="F829" s="2"/>
      <c r="G829" s="2"/>
      <c r="H829" s="22"/>
      <c r="I829" s="22"/>
      <c r="J829" s="22"/>
      <c r="K829" s="22"/>
      <c r="L829" s="2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128"/>
      <c r="B830" s="2"/>
      <c r="C830" s="2"/>
      <c r="D830" s="2"/>
      <c r="E830" s="2"/>
      <c r="F830" s="2"/>
      <c r="G830" s="2"/>
      <c r="H830" s="22"/>
      <c r="I830" s="22"/>
      <c r="J830" s="22"/>
      <c r="K830" s="22"/>
      <c r="L830" s="2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128"/>
      <c r="B831" s="2"/>
      <c r="C831" s="2"/>
      <c r="D831" s="2"/>
      <c r="E831" s="2"/>
      <c r="F831" s="2"/>
      <c r="G831" s="2"/>
      <c r="H831" s="22"/>
      <c r="I831" s="22"/>
      <c r="J831" s="22"/>
      <c r="K831" s="22"/>
      <c r="L831" s="2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128"/>
      <c r="B832" s="2"/>
      <c r="C832" s="2"/>
      <c r="D832" s="2"/>
      <c r="E832" s="2"/>
      <c r="F832" s="2"/>
      <c r="G832" s="2"/>
      <c r="H832" s="22"/>
      <c r="I832" s="22"/>
      <c r="J832" s="22"/>
      <c r="K832" s="22"/>
      <c r="L832" s="2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128"/>
      <c r="B833" s="2"/>
      <c r="C833" s="2"/>
      <c r="D833" s="2"/>
      <c r="E833" s="2"/>
      <c r="F833" s="2"/>
      <c r="G833" s="2"/>
      <c r="H833" s="22"/>
      <c r="I833" s="22"/>
      <c r="J833" s="22"/>
      <c r="K833" s="22"/>
      <c r="L833" s="2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128"/>
      <c r="B834" s="2"/>
      <c r="C834" s="2"/>
      <c r="D834" s="2"/>
      <c r="E834" s="2"/>
      <c r="F834" s="2"/>
      <c r="G834" s="2"/>
      <c r="H834" s="22"/>
      <c r="I834" s="22"/>
      <c r="J834" s="22"/>
      <c r="K834" s="22"/>
      <c r="L834" s="2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128"/>
      <c r="B835" s="2"/>
      <c r="C835" s="2"/>
      <c r="D835" s="2"/>
      <c r="E835" s="2"/>
      <c r="F835" s="2"/>
      <c r="G835" s="2"/>
      <c r="H835" s="22"/>
      <c r="I835" s="22"/>
      <c r="J835" s="22"/>
      <c r="K835" s="22"/>
      <c r="L835" s="2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128"/>
      <c r="B836" s="2"/>
      <c r="C836" s="2"/>
      <c r="D836" s="2"/>
      <c r="E836" s="2"/>
      <c r="F836" s="2"/>
      <c r="G836" s="2"/>
      <c r="H836" s="22"/>
      <c r="I836" s="22"/>
      <c r="J836" s="22"/>
      <c r="K836" s="22"/>
      <c r="L836" s="2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128"/>
      <c r="B837" s="2"/>
      <c r="C837" s="2"/>
      <c r="D837" s="2"/>
      <c r="E837" s="2"/>
      <c r="F837" s="2"/>
      <c r="G837" s="2"/>
      <c r="H837" s="22"/>
      <c r="I837" s="22"/>
      <c r="J837" s="22"/>
      <c r="K837" s="22"/>
      <c r="L837" s="2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128"/>
      <c r="B838" s="2"/>
      <c r="C838" s="2"/>
      <c r="D838" s="2"/>
      <c r="E838" s="2"/>
      <c r="F838" s="2"/>
      <c r="G838" s="2"/>
      <c r="H838" s="22"/>
      <c r="I838" s="22"/>
      <c r="J838" s="22"/>
      <c r="K838" s="22"/>
      <c r="L838" s="2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128"/>
      <c r="B839" s="2"/>
      <c r="C839" s="2"/>
      <c r="D839" s="2"/>
      <c r="E839" s="2"/>
      <c r="F839" s="2"/>
      <c r="G839" s="2"/>
      <c r="H839" s="22"/>
      <c r="I839" s="22"/>
      <c r="J839" s="22"/>
      <c r="K839" s="22"/>
      <c r="L839" s="2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128"/>
      <c r="B840" s="2"/>
      <c r="C840" s="2"/>
      <c r="D840" s="2"/>
      <c r="E840" s="2"/>
      <c r="F840" s="2"/>
      <c r="G840" s="2"/>
      <c r="H840" s="22"/>
      <c r="I840" s="22"/>
      <c r="J840" s="22"/>
      <c r="K840" s="22"/>
      <c r="L840" s="2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128"/>
      <c r="B841" s="2"/>
      <c r="C841" s="2"/>
      <c r="D841" s="2"/>
      <c r="E841" s="2"/>
      <c r="F841" s="2"/>
      <c r="G841" s="2"/>
      <c r="H841" s="22"/>
      <c r="I841" s="22"/>
      <c r="J841" s="22"/>
      <c r="K841" s="22"/>
      <c r="L841" s="2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128"/>
      <c r="B842" s="2"/>
      <c r="C842" s="2"/>
      <c r="D842" s="2"/>
      <c r="E842" s="2"/>
      <c r="F842" s="2"/>
      <c r="G842" s="2"/>
      <c r="H842" s="22"/>
      <c r="I842" s="22"/>
      <c r="J842" s="22"/>
      <c r="K842" s="22"/>
      <c r="L842" s="2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128"/>
      <c r="B843" s="2"/>
      <c r="C843" s="2"/>
      <c r="D843" s="2"/>
      <c r="E843" s="2"/>
      <c r="F843" s="2"/>
      <c r="G843" s="2"/>
      <c r="H843" s="22"/>
      <c r="I843" s="22"/>
      <c r="J843" s="22"/>
      <c r="K843" s="22"/>
      <c r="L843" s="2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128"/>
      <c r="B844" s="2"/>
      <c r="C844" s="2"/>
      <c r="D844" s="2"/>
      <c r="E844" s="2"/>
      <c r="F844" s="2"/>
      <c r="G844" s="2"/>
      <c r="H844" s="22"/>
      <c r="I844" s="22"/>
      <c r="J844" s="22"/>
      <c r="K844" s="22"/>
      <c r="L844" s="2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128"/>
      <c r="B845" s="2"/>
      <c r="C845" s="2"/>
      <c r="D845" s="2"/>
      <c r="E845" s="2"/>
      <c r="F845" s="2"/>
      <c r="G845" s="2"/>
      <c r="H845" s="22"/>
      <c r="I845" s="22"/>
      <c r="J845" s="22"/>
      <c r="K845" s="22"/>
      <c r="L845" s="2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128"/>
      <c r="B846" s="2"/>
      <c r="C846" s="2"/>
      <c r="D846" s="2"/>
      <c r="E846" s="2"/>
      <c r="F846" s="2"/>
      <c r="G846" s="2"/>
      <c r="H846" s="22"/>
      <c r="I846" s="22"/>
      <c r="J846" s="22"/>
      <c r="K846" s="22"/>
      <c r="L846" s="2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128"/>
      <c r="B847" s="2"/>
      <c r="C847" s="2"/>
      <c r="D847" s="2"/>
      <c r="E847" s="2"/>
      <c r="F847" s="2"/>
      <c r="G847" s="2"/>
      <c r="H847" s="22"/>
      <c r="I847" s="22"/>
      <c r="J847" s="22"/>
      <c r="K847" s="22"/>
      <c r="L847" s="2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128"/>
      <c r="B848" s="2"/>
      <c r="C848" s="2"/>
      <c r="D848" s="2"/>
      <c r="E848" s="2"/>
      <c r="F848" s="2"/>
      <c r="G848" s="2"/>
      <c r="H848" s="22"/>
      <c r="I848" s="22"/>
      <c r="J848" s="22"/>
      <c r="K848" s="22"/>
      <c r="L848" s="2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128"/>
      <c r="B849" s="2"/>
      <c r="C849" s="2"/>
      <c r="D849" s="2"/>
      <c r="E849" s="2"/>
      <c r="F849" s="2"/>
      <c r="G849" s="2"/>
      <c r="H849" s="22"/>
      <c r="I849" s="22"/>
      <c r="J849" s="22"/>
      <c r="K849" s="22"/>
      <c r="L849" s="2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128"/>
      <c r="B850" s="2"/>
      <c r="C850" s="2"/>
      <c r="D850" s="2"/>
      <c r="E850" s="2"/>
      <c r="F850" s="2"/>
      <c r="G850" s="2"/>
      <c r="H850" s="22"/>
      <c r="I850" s="22"/>
      <c r="J850" s="22"/>
      <c r="K850" s="22"/>
      <c r="L850" s="2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128"/>
      <c r="B851" s="2"/>
      <c r="C851" s="2"/>
      <c r="D851" s="2"/>
      <c r="E851" s="2"/>
      <c r="F851" s="2"/>
      <c r="G851" s="2"/>
      <c r="H851" s="22"/>
      <c r="I851" s="22"/>
      <c r="J851" s="22"/>
      <c r="K851" s="22"/>
      <c r="L851" s="2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128"/>
      <c r="B852" s="2"/>
      <c r="C852" s="2"/>
      <c r="D852" s="2"/>
      <c r="E852" s="2"/>
      <c r="F852" s="2"/>
      <c r="G852" s="2"/>
      <c r="H852" s="22"/>
      <c r="I852" s="22"/>
      <c r="J852" s="22"/>
      <c r="K852" s="22"/>
      <c r="L852" s="2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128"/>
      <c r="B853" s="2"/>
      <c r="C853" s="2"/>
      <c r="D853" s="2"/>
      <c r="E853" s="2"/>
      <c r="F853" s="2"/>
      <c r="G853" s="2"/>
      <c r="H853" s="22"/>
      <c r="I853" s="22"/>
      <c r="J853" s="22"/>
      <c r="K853" s="22"/>
      <c r="L853" s="2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128"/>
      <c r="B854" s="2"/>
      <c r="C854" s="2"/>
      <c r="D854" s="2"/>
      <c r="E854" s="2"/>
      <c r="F854" s="2"/>
      <c r="G854" s="2"/>
      <c r="H854" s="22"/>
      <c r="I854" s="22"/>
      <c r="J854" s="22"/>
      <c r="K854" s="22"/>
      <c r="L854" s="2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128"/>
      <c r="B855" s="2"/>
      <c r="C855" s="2"/>
      <c r="D855" s="2"/>
      <c r="E855" s="2"/>
      <c r="F855" s="2"/>
      <c r="G855" s="2"/>
      <c r="H855" s="22"/>
      <c r="I855" s="22"/>
      <c r="J855" s="22"/>
      <c r="K855" s="22"/>
      <c r="L855" s="2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128"/>
      <c r="B856" s="2"/>
      <c r="C856" s="2"/>
      <c r="D856" s="2"/>
      <c r="E856" s="2"/>
      <c r="F856" s="2"/>
      <c r="G856" s="2"/>
      <c r="H856" s="22"/>
      <c r="I856" s="22"/>
      <c r="J856" s="22"/>
      <c r="K856" s="22"/>
      <c r="L856" s="2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128"/>
      <c r="B857" s="2"/>
      <c r="C857" s="2"/>
      <c r="D857" s="2"/>
      <c r="E857" s="2"/>
      <c r="F857" s="2"/>
      <c r="G857" s="2"/>
      <c r="H857" s="22"/>
      <c r="I857" s="22"/>
      <c r="J857" s="22"/>
      <c r="K857" s="22"/>
      <c r="L857" s="2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128"/>
      <c r="B858" s="2"/>
      <c r="C858" s="2"/>
      <c r="D858" s="2"/>
      <c r="E858" s="2"/>
      <c r="F858" s="2"/>
      <c r="G858" s="2"/>
      <c r="H858" s="22"/>
      <c r="I858" s="22"/>
      <c r="J858" s="22"/>
      <c r="K858" s="22"/>
      <c r="L858" s="2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128"/>
      <c r="B859" s="2"/>
      <c r="C859" s="2"/>
      <c r="D859" s="2"/>
      <c r="E859" s="2"/>
      <c r="F859" s="2"/>
      <c r="G859" s="2"/>
      <c r="H859" s="22"/>
      <c r="I859" s="22"/>
      <c r="J859" s="22"/>
      <c r="K859" s="22"/>
      <c r="L859" s="2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128"/>
      <c r="B860" s="2"/>
      <c r="C860" s="2"/>
      <c r="D860" s="2"/>
      <c r="E860" s="2"/>
      <c r="F860" s="2"/>
      <c r="G860" s="2"/>
      <c r="H860" s="22"/>
      <c r="I860" s="22"/>
      <c r="J860" s="22"/>
      <c r="K860" s="22"/>
      <c r="L860" s="2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128"/>
      <c r="B861" s="2"/>
      <c r="C861" s="2"/>
      <c r="D861" s="2"/>
      <c r="E861" s="2"/>
      <c r="F861" s="2"/>
      <c r="G861" s="2"/>
      <c r="H861" s="22"/>
      <c r="I861" s="22"/>
      <c r="J861" s="22"/>
      <c r="K861" s="22"/>
      <c r="L861" s="2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128"/>
      <c r="B862" s="2"/>
      <c r="C862" s="2"/>
      <c r="D862" s="2"/>
      <c r="E862" s="2"/>
      <c r="F862" s="2"/>
      <c r="G862" s="2"/>
      <c r="H862" s="22"/>
      <c r="I862" s="22"/>
      <c r="J862" s="22"/>
      <c r="K862" s="22"/>
      <c r="L862" s="2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128"/>
      <c r="B863" s="2"/>
      <c r="C863" s="2"/>
      <c r="D863" s="2"/>
      <c r="E863" s="2"/>
      <c r="F863" s="2"/>
      <c r="G863" s="2"/>
      <c r="H863" s="22"/>
      <c r="I863" s="22"/>
      <c r="J863" s="22"/>
      <c r="K863" s="22"/>
      <c r="L863" s="2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128"/>
      <c r="B864" s="2"/>
      <c r="C864" s="2"/>
      <c r="D864" s="2"/>
      <c r="E864" s="2"/>
      <c r="F864" s="2"/>
      <c r="G864" s="2"/>
      <c r="H864" s="22"/>
      <c r="I864" s="22"/>
      <c r="J864" s="22"/>
      <c r="K864" s="22"/>
      <c r="L864" s="2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128"/>
      <c r="B865" s="2"/>
      <c r="C865" s="2"/>
      <c r="D865" s="2"/>
      <c r="E865" s="2"/>
      <c r="F865" s="2"/>
      <c r="G865" s="2"/>
      <c r="H865" s="22"/>
      <c r="I865" s="22"/>
      <c r="J865" s="22"/>
      <c r="K865" s="22"/>
      <c r="L865" s="2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128"/>
      <c r="B866" s="2"/>
      <c r="C866" s="2"/>
      <c r="D866" s="2"/>
      <c r="E866" s="2"/>
      <c r="F866" s="2"/>
      <c r="G866" s="2"/>
      <c r="H866" s="22"/>
      <c r="I866" s="22"/>
      <c r="J866" s="22"/>
      <c r="K866" s="22"/>
      <c r="L866" s="2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128"/>
      <c r="B867" s="2"/>
      <c r="C867" s="2"/>
      <c r="D867" s="2"/>
      <c r="E867" s="2"/>
      <c r="F867" s="2"/>
      <c r="G867" s="2"/>
      <c r="H867" s="22"/>
      <c r="I867" s="22"/>
      <c r="J867" s="22"/>
      <c r="K867" s="22"/>
      <c r="L867" s="2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128"/>
      <c r="B868" s="2"/>
      <c r="C868" s="2"/>
      <c r="D868" s="2"/>
      <c r="E868" s="2"/>
      <c r="F868" s="2"/>
      <c r="G868" s="2"/>
      <c r="H868" s="22"/>
      <c r="I868" s="22"/>
      <c r="J868" s="22"/>
      <c r="K868" s="22"/>
      <c r="L868" s="2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128"/>
      <c r="B869" s="2"/>
      <c r="C869" s="2"/>
      <c r="D869" s="2"/>
      <c r="E869" s="2"/>
      <c r="F869" s="2"/>
      <c r="G869" s="2"/>
      <c r="H869" s="22"/>
      <c r="I869" s="22"/>
      <c r="J869" s="22"/>
      <c r="K869" s="22"/>
      <c r="L869" s="2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128"/>
      <c r="B870" s="2"/>
      <c r="C870" s="2"/>
      <c r="D870" s="2"/>
      <c r="E870" s="2"/>
      <c r="F870" s="2"/>
      <c r="G870" s="2"/>
      <c r="H870" s="22"/>
      <c r="I870" s="22"/>
      <c r="J870" s="22"/>
      <c r="K870" s="22"/>
      <c r="L870" s="2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128"/>
      <c r="B871" s="2"/>
      <c r="C871" s="2"/>
      <c r="D871" s="2"/>
      <c r="E871" s="2"/>
      <c r="F871" s="2"/>
      <c r="G871" s="2"/>
      <c r="H871" s="22"/>
      <c r="I871" s="22"/>
      <c r="J871" s="22"/>
      <c r="K871" s="22"/>
      <c r="L871" s="2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128"/>
      <c r="B872" s="2"/>
      <c r="C872" s="2"/>
      <c r="D872" s="2"/>
      <c r="E872" s="2"/>
      <c r="F872" s="2"/>
      <c r="G872" s="2"/>
      <c r="H872" s="22"/>
      <c r="I872" s="22"/>
      <c r="J872" s="22"/>
      <c r="K872" s="22"/>
      <c r="L872" s="2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128"/>
      <c r="B873" s="2"/>
      <c r="C873" s="2"/>
      <c r="D873" s="2"/>
      <c r="E873" s="2"/>
      <c r="F873" s="2"/>
      <c r="G873" s="2"/>
      <c r="H873" s="22"/>
      <c r="I873" s="22"/>
      <c r="J873" s="22"/>
      <c r="K873" s="22"/>
      <c r="L873" s="2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128"/>
      <c r="B874" s="2"/>
      <c r="C874" s="2"/>
      <c r="D874" s="2"/>
      <c r="E874" s="2"/>
      <c r="F874" s="2"/>
      <c r="G874" s="2"/>
      <c r="H874" s="22"/>
      <c r="I874" s="22"/>
      <c r="J874" s="22"/>
      <c r="K874" s="22"/>
      <c r="L874" s="2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128"/>
      <c r="B875" s="2"/>
      <c r="C875" s="2"/>
      <c r="D875" s="2"/>
      <c r="E875" s="2"/>
      <c r="F875" s="2"/>
      <c r="G875" s="2"/>
      <c r="H875" s="22"/>
      <c r="I875" s="22"/>
      <c r="J875" s="22"/>
      <c r="K875" s="22"/>
      <c r="L875" s="2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128"/>
      <c r="B876" s="2"/>
      <c r="C876" s="2"/>
      <c r="D876" s="2"/>
      <c r="E876" s="2"/>
      <c r="F876" s="2"/>
      <c r="G876" s="2"/>
      <c r="H876" s="22"/>
      <c r="I876" s="22"/>
      <c r="J876" s="22"/>
      <c r="K876" s="22"/>
      <c r="L876" s="2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128"/>
      <c r="B877" s="2"/>
      <c r="C877" s="2"/>
      <c r="D877" s="2"/>
      <c r="E877" s="2"/>
      <c r="F877" s="2"/>
      <c r="G877" s="2"/>
      <c r="H877" s="22"/>
      <c r="I877" s="22"/>
      <c r="J877" s="22"/>
      <c r="K877" s="22"/>
      <c r="L877" s="2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128"/>
      <c r="B878" s="2"/>
      <c r="C878" s="2"/>
      <c r="D878" s="2"/>
      <c r="E878" s="2"/>
      <c r="F878" s="2"/>
      <c r="G878" s="2"/>
      <c r="H878" s="22"/>
      <c r="I878" s="22"/>
      <c r="J878" s="22"/>
      <c r="K878" s="22"/>
      <c r="L878" s="2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128"/>
      <c r="B879" s="2"/>
      <c r="C879" s="2"/>
      <c r="D879" s="2"/>
      <c r="E879" s="2"/>
      <c r="F879" s="2"/>
      <c r="G879" s="2"/>
      <c r="H879" s="22"/>
      <c r="I879" s="22"/>
      <c r="J879" s="22"/>
      <c r="K879" s="22"/>
      <c r="L879" s="2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128"/>
      <c r="B880" s="2"/>
      <c r="C880" s="2"/>
      <c r="D880" s="2"/>
      <c r="E880" s="2"/>
      <c r="F880" s="2"/>
      <c r="G880" s="2"/>
      <c r="H880" s="22"/>
      <c r="I880" s="22"/>
      <c r="J880" s="22"/>
      <c r="K880" s="22"/>
      <c r="L880" s="2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128"/>
      <c r="B881" s="2"/>
      <c r="C881" s="2"/>
      <c r="D881" s="2"/>
      <c r="E881" s="2"/>
      <c r="F881" s="2"/>
      <c r="G881" s="2"/>
      <c r="H881" s="22"/>
      <c r="I881" s="22"/>
      <c r="J881" s="22"/>
      <c r="K881" s="22"/>
      <c r="L881" s="2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128"/>
      <c r="B882" s="2"/>
      <c r="C882" s="2"/>
      <c r="D882" s="2"/>
      <c r="E882" s="2"/>
      <c r="F882" s="2"/>
      <c r="G882" s="2"/>
      <c r="H882" s="22"/>
      <c r="I882" s="22"/>
      <c r="J882" s="22"/>
      <c r="K882" s="22"/>
      <c r="L882" s="2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128"/>
      <c r="B883" s="2"/>
      <c r="C883" s="2"/>
      <c r="D883" s="2"/>
      <c r="E883" s="2"/>
      <c r="F883" s="2"/>
      <c r="G883" s="2"/>
      <c r="H883" s="22"/>
      <c r="I883" s="22"/>
      <c r="J883" s="22"/>
      <c r="K883" s="22"/>
      <c r="L883" s="2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128"/>
      <c r="B884" s="2"/>
      <c r="C884" s="2"/>
      <c r="D884" s="2"/>
      <c r="E884" s="2"/>
      <c r="F884" s="2"/>
      <c r="G884" s="2"/>
      <c r="H884" s="22"/>
      <c r="I884" s="22"/>
      <c r="J884" s="22"/>
      <c r="K884" s="22"/>
      <c r="L884" s="2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128"/>
      <c r="B885" s="2"/>
      <c r="C885" s="2"/>
      <c r="D885" s="2"/>
      <c r="E885" s="2"/>
      <c r="F885" s="2"/>
      <c r="G885" s="2"/>
      <c r="H885" s="22"/>
      <c r="I885" s="22"/>
      <c r="J885" s="22"/>
      <c r="K885" s="22"/>
      <c r="L885" s="2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128"/>
      <c r="B886" s="2"/>
      <c r="C886" s="2"/>
      <c r="D886" s="2"/>
      <c r="E886" s="2"/>
      <c r="F886" s="2"/>
      <c r="G886" s="2"/>
      <c r="H886" s="22"/>
      <c r="I886" s="22"/>
      <c r="J886" s="22"/>
      <c r="K886" s="22"/>
      <c r="L886" s="2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128"/>
      <c r="B887" s="2"/>
      <c r="C887" s="2"/>
      <c r="D887" s="2"/>
      <c r="E887" s="2"/>
      <c r="F887" s="2"/>
      <c r="G887" s="2"/>
      <c r="H887" s="22"/>
      <c r="I887" s="22"/>
      <c r="J887" s="22"/>
      <c r="K887" s="22"/>
      <c r="L887" s="2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128"/>
      <c r="B888" s="2"/>
      <c r="C888" s="2"/>
      <c r="D888" s="2"/>
      <c r="E888" s="2"/>
      <c r="F888" s="2"/>
      <c r="G888" s="2"/>
      <c r="H888" s="22"/>
      <c r="I888" s="22"/>
      <c r="J888" s="22"/>
      <c r="K888" s="22"/>
      <c r="L888" s="2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128"/>
      <c r="B889" s="2"/>
      <c r="C889" s="2"/>
      <c r="D889" s="2"/>
      <c r="E889" s="2"/>
      <c r="F889" s="2"/>
      <c r="G889" s="2"/>
      <c r="H889" s="22"/>
      <c r="I889" s="22"/>
      <c r="J889" s="22"/>
      <c r="K889" s="22"/>
      <c r="L889" s="2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128"/>
      <c r="B890" s="2"/>
      <c r="C890" s="2"/>
      <c r="D890" s="2"/>
      <c r="E890" s="2"/>
      <c r="F890" s="2"/>
      <c r="G890" s="2"/>
      <c r="H890" s="22"/>
      <c r="I890" s="22"/>
      <c r="J890" s="22"/>
      <c r="K890" s="22"/>
      <c r="L890" s="2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128"/>
      <c r="B891" s="2"/>
      <c r="C891" s="2"/>
      <c r="D891" s="2"/>
      <c r="E891" s="2"/>
      <c r="F891" s="2"/>
      <c r="G891" s="2"/>
      <c r="H891" s="22"/>
      <c r="I891" s="22"/>
      <c r="J891" s="22"/>
      <c r="K891" s="22"/>
      <c r="L891" s="2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128"/>
      <c r="B892" s="2"/>
      <c r="C892" s="2"/>
      <c r="D892" s="2"/>
      <c r="E892" s="2"/>
      <c r="F892" s="2"/>
      <c r="G892" s="2"/>
      <c r="H892" s="22"/>
      <c r="I892" s="22"/>
      <c r="J892" s="22"/>
      <c r="K892" s="22"/>
      <c r="L892" s="2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128"/>
      <c r="B893" s="2"/>
      <c r="C893" s="2"/>
      <c r="D893" s="2"/>
      <c r="E893" s="2"/>
      <c r="F893" s="2"/>
      <c r="G893" s="2"/>
      <c r="H893" s="22"/>
      <c r="I893" s="22"/>
      <c r="J893" s="22"/>
      <c r="K893" s="22"/>
      <c r="L893" s="2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128"/>
      <c r="B894" s="2"/>
      <c r="C894" s="2"/>
      <c r="D894" s="2"/>
      <c r="E894" s="2"/>
      <c r="F894" s="2"/>
      <c r="G894" s="2"/>
      <c r="H894" s="22"/>
      <c r="I894" s="22"/>
      <c r="J894" s="22"/>
      <c r="K894" s="22"/>
      <c r="L894" s="2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128"/>
      <c r="B895" s="2"/>
      <c r="C895" s="2"/>
      <c r="D895" s="2"/>
      <c r="E895" s="2"/>
      <c r="F895" s="2"/>
      <c r="G895" s="2"/>
      <c r="H895" s="22"/>
      <c r="I895" s="22"/>
      <c r="J895" s="22"/>
      <c r="K895" s="22"/>
      <c r="L895" s="2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128"/>
      <c r="B896" s="2"/>
      <c r="C896" s="2"/>
      <c r="D896" s="2"/>
      <c r="E896" s="2"/>
      <c r="F896" s="2"/>
      <c r="G896" s="2"/>
      <c r="H896" s="22"/>
      <c r="I896" s="22"/>
      <c r="J896" s="22"/>
      <c r="K896" s="22"/>
      <c r="L896" s="2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128"/>
      <c r="B897" s="2"/>
      <c r="C897" s="2"/>
      <c r="D897" s="2"/>
      <c r="E897" s="2"/>
      <c r="F897" s="2"/>
      <c r="G897" s="2"/>
      <c r="H897" s="22"/>
      <c r="I897" s="22"/>
      <c r="J897" s="22"/>
      <c r="K897" s="22"/>
      <c r="L897" s="2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128"/>
      <c r="B898" s="2"/>
      <c r="C898" s="2"/>
      <c r="D898" s="2"/>
      <c r="E898" s="2"/>
      <c r="F898" s="2"/>
      <c r="G898" s="2"/>
      <c r="H898" s="22"/>
      <c r="I898" s="22"/>
      <c r="J898" s="22"/>
      <c r="K898" s="22"/>
      <c r="L898" s="2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128"/>
      <c r="B899" s="2"/>
      <c r="C899" s="2"/>
      <c r="D899" s="2"/>
      <c r="E899" s="2"/>
      <c r="F899" s="2"/>
      <c r="G899" s="2"/>
      <c r="H899" s="22"/>
      <c r="I899" s="22"/>
      <c r="J899" s="22"/>
      <c r="K899" s="22"/>
      <c r="L899" s="2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128"/>
      <c r="B900" s="2"/>
      <c r="C900" s="2"/>
      <c r="D900" s="2"/>
      <c r="E900" s="2"/>
      <c r="F900" s="2"/>
      <c r="G900" s="2"/>
      <c r="H900" s="22"/>
      <c r="I900" s="22"/>
      <c r="J900" s="22"/>
      <c r="K900" s="22"/>
      <c r="L900" s="2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128"/>
      <c r="B901" s="2"/>
      <c r="C901" s="2"/>
      <c r="D901" s="2"/>
      <c r="E901" s="2"/>
      <c r="F901" s="2"/>
      <c r="G901" s="2"/>
      <c r="H901" s="22"/>
      <c r="I901" s="22"/>
      <c r="J901" s="22"/>
      <c r="K901" s="22"/>
      <c r="L901" s="2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128"/>
      <c r="B902" s="2"/>
      <c r="C902" s="2"/>
      <c r="D902" s="2"/>
      <c r="E902" s="2"/>
      <c r="F902" s="2"/>
      <c r="G902" s="2"/>
      <c r="H902" s="22"/>
      <c r="I902" s="22"/>
      <c r="J902" s="22"/>
      <c r="K902" s="22"/>
      <c r="L902" s="2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128"/>
      <c r="B903" s="2"/>
      <c r="C903" s="2"/>
      <c r="D903" s="2"/>
      <c r="E903" s="2"/>
      <c r="F903" s="2"/>
      <c r="G903" s="2"/>
      <c r="H903" s="22"/>
      <c r="I903" s="22"/>
      <c r="J903" s="22"/>
      <c r="K903" s="22"/>
      <c r="L903" s="2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128"/>
      <c r="B904" s="2"/>
      <c r="C904" s="2"/>
      <c r="D904" s="2"/>
      <c r="E904" s="2"/>
      <c r="F904" s="2"/>
      <c r="G904" s="2"/>
      <c r="H904" s="22"/>
      <c r="I904" s="22"/>
      <c r="J904" s="22"/>
      <c r="K904" s="22"/>
      <c r="L904" s="2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128"/>
      <c r="B905" s="2"/>
      <c r="C905" s="2"/>
      <c r="D905" s="2"/>
      <c r="E905" s="2"/>
      <c r="F905" s="2"/>
      <c r="G905" s="2"/>
      <c r="H905" s="22"/>
      <c r="I905" s="22"/>
      <c r="J905" s="22"/>
      <c r="K905" s="22"/>
      <c r="L905" s="2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128"/>
      <c r="B906" s="2"/>
      <c r="C906" s="2"/>
      <c r="D906" s="2"/>
      <c r="E906" s="2"/>
      <c r="F906" s="2"/>
      <c r="G906" s="2"/>
      <c r="H906" s="22"/>
      <c r="I906" s="22"/>
      <c r="J906" s="22"/>
      <c r="K906" s="22"/>
      <c r="L906" s="2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128"/>
      <c r="B907" s="2"/>
      <c r="C907" s="2"/>
      <c r="D907" s="2"/>
      <c r="E907" s="2"/>
      <c r="F907" s="2"/>
      <c r="G907" s="2"/>
      <c r="H907" s="22"/>
      <c r="I907" s="22"/>
      <c r="J907" s="22"/>
      <c r="K907" s="22"/>
      <c r="L907" s="2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128"/>
      <c r="B908" s="2"/>
      <c r="C908" s="2"/>
      <c r="D908" s="2"/>
      <c r="E908" s="2"/>
      <c r="F908" s="2"/>
      <c r="G908" s="2"/>
      <c r="H908" s="22"/>
      <c r="I908" s="22"/>
      <c r="J908" s="22"/>
      <c r="K908" s="22"/>
      <c r="L908" s="2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128"/>
      <c r="B909" s="2"/>
      <c r="C909" s="2"/>
      <c r="D909" s="2"/>
      <c r="E909" s="2"/>
      <c r="F909" s="2"/>
      <c r="G909" s="2"/>
      <c r="H909" s="22"/>
      <c r="I909" s="22"/>
      <c r="J909" s="22"/>
      <c r="K909" s="22"/>
      <c r="L909" s="2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128"/>
      <c r="B910" s="2"/>
      <c r="C910" s="2"/>
      <c r="D910" s="2"/>
      <c r="E910" s="2"/>
      <c r="F910" s="2"/>
      <c r="G910" s="2"/>
      <c r="H910" s="22"/>
      <c r="I910" s="22"/>
      <c r="J910" s="22"/>
      <c r="K910" s="22"/>
      <c r="L910" s="2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128"/>
      <c r="B911" s="2"/>
      <c r="C911" s="2"/>
      <c r="D911" s="2"/>
      <c r="E911" s="2"/>
      <c r="F911" s="2"/>
      <c r="G911" s="2"/>
      <c r="H911" s="22"/>
      <c r="I911" s="22"/>
      <c r="J911" s="22"/>
      <c r="K911" s="22"/>
      <c r="L911" s="2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128"/>
      <c r="B912" s="2"/>
      <c r="C912" s="2"/>
      <c r="D912" s="2"/>
      <c r="E912" s="2"/>
      <c r="F912" s="2"/>
      <c r="G912" s="2"/>
      <c r="H912" s="22"/>
      <c r="I912" s="22"/>
      <c r="J912" s="22"/>
      <c r="K912" s="22"/>
      <c r="L912" s="2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128"/>
      <c r="B913" s="2"/>
      <c r="C913" s="2"/>
      <c r="D913" s="2"/>
      <c r="E913" s="2"/>
      <c r="F913" s="2"/>
      <c r="G913" s="2"/>
      <c r="H913" s="22"/>
      <c r="I913" s="22"/>
      <c r="J913" s="22"/>
      <c r="K913" s="22"/>
      <c r="L913" s="2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128"/>
      <c r="B914" s="2"/>
      <c r="C914" s="2"/>
      <c r="D914" s="2"/>
      <c r="E914" s="2"/>
      <c r="F914" s="2"/>
      <c r="G914" s="2"/>
      <c r="H914" s="22"/>
      <c r="I914" s="22"/>
      <c r="J914" s="22"/>
      <c r="K914" s="22"/>
      <c r="L914" s="2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128"/>
      <c r="B915" s="2"/>
      <c r="C915" s="2"/>
      <c r="D915" s="2"/>
      <c r="E915" s="2"/>
      <c r="F915" s="2"/>
      <c r="G915" s="2"/>
      <c r="H915" s="22"/>
      <c r="I915" s="22"/>
      <c r="J915" s="22"/>
      <c r="K915" s="22"/>
      <c r="L915" s="2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128"/>
      <c r="B916" s="2"/>
      <c r="C916" s="2"/>
      <c r="D916" s="2"/>
      <c r="E916" s="2"/>
      <c r="F916" s="2"/>
      <c r="G916" s="2"/>
      <c r="H916" s="22"/>
      <c r="I916" s="22"/>
      <c r="J916" s="22"/>
      <c r="K916" s="22"/>
      <c r="L916" s="2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128"/>
      <c r="B917" s="2"/>
      <c r="C917" s="2"/>
      <c r="D917" s="2"/>
      <c r="E917" s="2"/>
      <c r="F917" s="2"/>
      <c r="G917" s="2"/>
      <c r="H917" s="22"/>
      <c r="I917" s="22"/>
      <c r="J917" s="22"/>
      <c r="K917" s="22"/>
      <c r="L917" s="2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128"/>
      <c r="B918" s="2"/>
      <c r="C918" s="2"/>
      <c r="D918" s="2"/>
      <c r="E918" s="2"/>
      <c r="F918" s="2"/>
      <c r="G918" s="2"/>
      <c r="H918" s="22"/>
      <c r="I918" s="22"/>
      <c r="J918" s="22"/>
      <c r="K918" s="22"/>
      <c r="L918" s="2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128"/>
      <c r="B919" s="2"/>
      <c r="C919" s="2"/>
      <c r="D919" s="2"/>
      <c r="E919" s="2"/>
      <c r="F919" s="2"/>
      <c r="G919" s="2"/>
      <c r="H919" s="22"/>
      <c r="I919" s="22"/>
      <c r="J919" s="22"/>
      <c r="K919" s="22"/>
      <c r="L919" s="2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128"/>
      <c r="B920" s="2"/>
      <c r="C920" s="2"/>
      <c r="D920" s="2"/>
      <c r="E920" s="2"/>
      <c r="F920" s="2"/>
      <c r="G920" s="2"/>
      <c r="H920" s="22"/>
      <c r="I920" s="22"/>
      <c r="J920" s="22"/>
      <c r="K920" s="22"/>
      <c r="L920" s="2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128"/>
      <c r="B921" s="2"/>
      <c r="C921" s="2"/>
      <c r="D921" s="2"/>
      <c r="E921" s="2"/>
      <c r="F921" s="2"/>
      <c r="G921" s="2"/>
      <c r="H921" s="22"/>
      <c r="I921" s="22"/>
      <c r="J921" s="22"/>
      <c r="K921" s="22"/>
      <c r="L921" s="2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128"/>
      <c r="B922" s="2"/>
      <c r="C922" s="2"/>
      <c r="D922" s="2"/>
      <c r="E922" s="2"/>
      <c r="F922" s="2"/>
      <c r="G922" s="2"/>
      <c r="H922" s="22"/>
      <c r="I922" s="22"/>
      <c r="J922" s="22"/>
      <c r="K922" s="22"/>
      <c r="L922" s="2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128"/>
      <c r="B923" s="2"/>
      <c r="C923" s="2"/>
      <c r="D923" s="2"/>
      <c r="E923" s="2"/>
      <c r="F923" s="2"/>
      <c r="G923" s="2"/>
      <c r="H923" s="22"/>
      <c r="I923" s="22"/>
      <c r="J923" s="22"/>
      <c r="K923" s="22"/>
      <c r="L923" s="2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128"/>
      <c r="B924" s="2"/>
      <c r="C924" s="2"/>
      <c r="D924" s="2"/>
      <c r="E924" s="2"/>
      <c r="F924" s="2"/>
      <c r="G924" s="2"/>
      <c r="H924" s="22"/>
      <c r="I924" s="22"/>
      <c r="J924" s="22"/>
      <c r="K924" s="22"/>
      <c r="L924" s="2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128"/>
      <c r="B925" s="2"/>
      <c r="C925" s="2"/>
      <c r="D925" s="2"/>
      <c r="E925" s="2"/>
      <c r="F925" s="2"/>
      <c r="G925" s="2"/>
      <c r="H925" s="22"/>
      <c r="I925" s="22"/>
      <c r="J925" s="22"/>
      <c r="K925" s="22"/>
      <c r="L925" s="2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128"/>
      <c r="B926" s="2"/>
      <c r="C926" s="2"/>
      <c r="D926" s="2"/>
      <c r="E926" s="2"/>
      <c r="F926" s="2"/>
      <c r="G926" s="2"/>
      <c r="H926" s="22"/>
      <c r="I926" s="22"/>
      <c r="J926" s="22"/>
      <c r="K926" s="22"/>
      <c r="L926" s="2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128"/>
      <c r="B927" s="2"/>
      <c r="C927" s="2"/>
      <c r="D927" s="2"/>
      <c r="E927" s="2"/>
      <c r="F927" s="2"/>
      <c r="G927" s="2"/>
      <c r="H927" s="22"/>
      <c r="I927" s="22"/>
      <c r="J927" s="22"/>
      <c r="K927" s="22"/>
      <c r="L927" s="2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128"/>
      <c r="B928" s="2"/>
      <c r="C928" s="2"/>
      <c r="D928" s="2"/>
      <c r="E928" s="2"/>
      <c r="F928" s="2"/>
      <c r="G928" s="2"/>
      <c r="H928" s="22"/>
      <c r="I928" s="22"/>
      <c r="J928" s="22"/>
      <c r="K928" s="22"/>
      <c r="L928" s="2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128"/>
      <c r="B929" s="2"/>
      <c r="C929" s="2"/>
      <c r="D929" s="2"/>
      <c r="E929" s="2"/>
      <c r="F929" s="2"/>
      <c r="G929" s="2"/>
      <c r="H929" s="22"/>
      <c r="I929" s="22"/>
      <c r="J929" s="22"/>
      <c r="K929" s="22"/>
      <c r="L929" s="2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128"/>
      <c r="B930" s="2"/>
      <c r="C930" s="2"/>
      <c r="D930" s="2"/>
      <c r="E930" s="2"/>
      <c r="F930" s="2"/>
      <c r="G930" s="2"/>
      <c r="H930" s="22"/>
      <c r="I930" s="22"/>
      <c r="J930" s="22"/>
      <c r="K930" s="22"/>
      <c r="L930" s="2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128"/>
      <c r="B931" s="2"/>
      <c r="C931" s="2"/>
      <c r="D931" s="2"/>
      <c r="E931" s="2"/>
      <c r="F931" s="2"/>
      <c r="G931" s="2"/>
      <c r="H931" s="22"/>
      <c r="I931" s="22"/>
      <c r="J931" s="22"/>
      <c r="K931" s="22"/>
      <c r="L931" s="2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128"/>
      <c r="B932" s="2"/>
      <c r="C932" s="2"/>
      <c r="D932" s="2"/>
      <c r="E932" s="2"/>
      <c r="F932" s="2"/>
      <c r="G932" s="2"/>
      <c r="H932" s="22"/>
      <c r="I932" s="22"/>
      <c r="J932" s="22"/>
      <c r="K932" s="22"/>
      <c r="L932" s="2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128"/>
      <c r="B933" s="2"/>
      <c r="C933" s="2"/>
      <c r="D933" s="2"/>
      <c r="E933" s="2"/>
      <c r="F933" s="2"/>
      <c r="G933" s="2"/>
      <c r="H933" s="22"/>
      <c r="I933" s="22"/>
      <c r="J933" s="22"/>
      <c r="K933" s="22"/>
      <c r="L933" s="2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128"/>
      <c r="B934" s="2"/>
      <c r="C934" s="2"/>
      <c r="D934" s="2"/>
      <c r="E934" s="2"/>
      <c r="F934" s="2"/>
      <c r="G934" s="2"/>
      <c r="H934" s="22"/>
      <c r="I934" s="22"/>
      <c r="J934" s="22"/>
      <c r="K934" s="22"/>
      <c r="L934" s="2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128"/>
      <c r="B935" s="2"/>
      <c r="C935" s="2"/>
      <c r="D935" s="2"/>
      <c r="E935" s="2"/>
      <c r="F935" s="2"/>
      <c r="G935" s="2"/>
      <c r="H935" s="22"/>
      <c r="I935" s="22"/>
      <c r="J935" s="22"/>
      <c r="K935" s="22"/>
      <c r="L935" s="2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128"/>
      <c r="B936" s="2"/>
      <c r="C936" s="2"/>
      <c r="D936" s="2"/>
      <c r="E936" s="2"/>
      <c r="F936" s="2"/>
      <c r="G936" s="2"/>
      <c r="H936" s="22"/>
      <c r="I936" s="22"/>
      <c r="J936" s="22"/>
      <c r="K936" s="22"/>
      <c r="L936" s="2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128"/>
      <c r="B937" s="2"/>
      <c r="C937" s="2"/>
      <c r="D937" s="2"/>
      <c r="E937" s="2"/>
      <c r="F937" s="2"/>
      <c r="G937" s="2"/>
      <c r="H937" s="22"/>
      <c r="I937" s="22"/>
      <c r="J937" s="22"/>
      <c r="K937" s="22"/>
      <c r="L937" s="2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128"/>
      <c r="B938" s="2"/>
      <c r="C938" s="2"/>
      <c r="D938" s="2"/>
      <c r="E938" s="2"/>
      <c r="F938" s="2"/>
      <c r="G938" s="2"/>
      <c r="H938" s="22"/>
      <c r="I938" s="22"/>
      <c r="J938" s="22"/>
      <c r="K938" s="22"/>
      <c r="L938" s="2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128"/>
      <c r="B939" s="2"/>
      <c r="C939" s="2"/>
      <c r="D939" s="2"/>
      <c r="E939" s="2"/>
      <c r="F939" s="2"/>
      <c r="G939" s="2"/>
      <c r="H939" s="22"/>
      <c r="I939" s="22"/>
      <c r="J939" s="22"/>
      <c r="K939" s="22"/>
      <c r="L939" s="2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128"/>
      <c r="B940" s="2"/>
      <c r="C940" s="2"/>
      <c r="D940" s="2"/>
      <c r="E940" s="2"/>
      <c r="F940" s="2"/>
      <c r="G940" s="2"/>
      <c r="H940" s="22"/>
      <c r="I940" s="22"/>
      <c r="J940" s="22"/>
      <c r="K940" s="22"/>
      <c r="L940" s="2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128"/>
      <c r="B941" s="2"/>
      <c r="C941" s="2"/>
      <c r="D941" s="2"/>
      <c r="E941" s="2"/>
      <c r="F941" s="2"/>
      <c r="G941" s="2"/>
      <c r="H941" s="22"/>
      <c r="I941" s="22"/>
      <c r="J941" s="22"/>
      <c r="K941" s="22"/>
      <c r="L941" s="2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128"/>
      <c r="B942" s="2"/>
      <c r="C942" s="2"/>
      <c r="D942" s="2"/>
      <c r="E942" s="2"/>
      <c r="F942" s="2"/>
      <c r="G942" s="2"/>
      <c r="H942" s="22"/>
      <c r="I942" s="22"/>
      <c r="J942" s="22"/>
      <c r="K942" s="22"/>
      <c r="L942" s="2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128"/>
      <c r="B943" s="2"/>
      <c r="C943" s="2"/>
      <c r="D943" s="2"/>
      <c r="E943" s="2"/>
      <c r="F943" s="2"/>
      <c r="G943" s="2"/>
      <c r="H943" s="22"/>
      <c r="I943" s="22"/>
      <c r="J943" s="22"/>
      <c r="K943" s="22"/>
      <c r="L943" s="2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128"/>
      <c r="B944" s="2"/>
      <c r="C944" s="2"/>
      <c r="D944" s="2"/>
      <c r="E944" s="2"/>
      <c r="F944" s="2"/>
      <c r="G944" s="2"/>
      <c r="H944" s="22"/>
      <c r="I944" s="22"/>
      <c r="J944" s="22"/>
      <c r="K944" s="22"/>
      <c r="L944" s="2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128"/>
      <c r="B945" s="2"/>
      <c r="C945" s="2"/>
      <c r="D945" s="2"/>
      <c r="E945" s="2"/>
      <c r="F945" s="2"/>
      <c r="G945" s="2"/>
      <c r="H945" s="22"/>
      <c r="I945" s="22"/>
      <c r="J945" s="22"/>
      <c r="K945" s="22"/>
      <c r="L945" s="2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128"/>
      <c r="B946" s="2"/>
      <c r="C946" s="2"/>
      <c r="D946" s="2"/>
      <c r="E946" s="2"/>
      <c r="F946" s="2"/>
      <c r="G946" s="2"/>
      <c r="H946" s="22"/>
      <c r="I946" s="22"/>
      <c r="J946" s="22"/>
      <c r="K946" s="22"/>
      <c r="L946" s="2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128"/>
      <c r="B947" s="2"/>
      <c r="C947" s="2"/>
      <c r="D947" s="2"/>
      <c r="E947" s="2"/>
      <c r="F947" s="2"/>
      <c r="G947" s="2"/>
      <c r="H947" s="22"/>
      <c r="I947" s="22"/>
      <c r="J947" s="22"/>
      <c r="K947" s="22"/>
      <c r="L947" s="2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128"/>
      <c r="B948" s="2"/>
      <c r="C948" s="2"/>
      <c r="D948" s="2"/>
      <c r="E948" s="2"/>
      <c r="F948" s="2"/>
      <c r="G948" s="2"/>
      <c r="H948" s="22"/>
      <c r="I948" s="22"/>
      <c r="J948" s="22"/>
      <c r="K948" s="22"/>
      <c r="L948" s="2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128"/>
      <c r="B949" s="2"/>
      <c r="C949" s="2"/>
      <c r="D949" s="2"/>
      <c r="E949" s="2"/>
      <c r="F949" s="2"/>
      <c r="G949" s="2"/>
      <c r="H949" s="22"/>
      <c r="I949" s="22"/>
      <c r="J949" s="22"/>
      <c r="K949" s="22"/>
      <c r="L949" s="2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128"/>
      <c r="B950" s="2"/>
      <c r="C950" s="2"/>
      <c r="D950" s="2"/>
      <c r="E950" s="2"/>
      <c r="F950" s="2"/>
      <c r="G950" s="2"/>
      <c r="H950" s="22"/>
      <c r="I950" s="22"/>
      <c r="J950" s="22"/>
      <c r="K950" s="22"/>
      <c r="L950" s="2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128"/>
      <c r="B951" s="2"/>
      <c r="C951" s="2"/>
      <c r="D951" s="2"/>
      <c r="E951" s="2"/>
      <c r="F951" s="2"/>
      <c r="G951" s="2"/>
      <c r="H951" s="22"/>
      <c r="I951" s="22"/>
      <c r="J951" s="22"/>
      <c r="K951" s="22"/>
      <c r="L951" s="2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128"/>
      <c r="B952" s="2"/>
      <c r="C952" s="2"/>
      <c r="D952" s="2"/>
      <c r="E952" s="2"/>
      <c r="F952" s="2"/>
      <c r="G952" s="2"/>
      <c r="H952" s="22"/>
      <c r="I952" s="22"/>
      <c r="J952" s="22"/>
      <c r="K952" s="22"/>
      <c r="L952" s="2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128"/>
      <c r="B953" s="2"/>
      <c r="C953" s="2"/>
      <c r="D953" s="2"/>
      <c r="E953" s="2"/>
      <c r="F953" s="2"/>
      <c r="G953" s="2"/>
      <c r="H953" s="22"/>
      <c r="I953" s="22"/>
      <c r="J953" s="22"/>
      <c r="K953" s="22"/>
      <c r="L953" s="2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128"/>
      <c r="B954" s="2"/>
      <c r="C954" s="2"/>
      <c r="D954" s="2"/>
      <c r="E954" s="2"/>
      <c r="F954" s="2"/>
      <c r="G954" s="2"/>
      <c r="H954" s="22"/>
      <c r="I954" s="22"/>
      <c r="J954" s="22"/>
      <c r="K954" s="22"/>
      <c r="L954" s="2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128"/>
      <c r="B955" s="2"/>
      <c r="C955" s="2"/>
      <c r="D955" s="2"/>
      <c r="E955" s="2"/>
      <c r="F955" s="2"/>
      <c r="G955" s="2"/>
      <c r="H955" s="22"/>
      <c r="I955" s="22"/>
      <c r="J955" s="22"/>
      <c r="K955" s="22"/>
      <c r="L955" s="2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128"/>
      <c r="B956" s="2"/>
      <c r="C956" s="2"/>
      <c r="D956" s="2"/>
      <c r="E956" s="2"/>
      <c r="F956" s="2"/>
      <c r="G956" s="2"/>
      <c r="H956" s="22"/>
      <c r="I956" s="22"/>
      <c r="J956" s="22"/>
      <c r="K956" s="22"/>
      <c r="L956" s="2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128"/>
      <c r="B957" s="2"/>
      <c r="C957" s="2"/>
      <c r="D957" s="2"/>
      <c r="E957" s="2"/>
      <c r="F957" s="2"/>
      <c r="G957" s="2"/>
      <c r="H957" s="22"/>
      <c r="I957" s="22"/>
      <c r="J957" s="22"/>
      <c r="K957" s="22"/>
      <c r="L957" s="2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128"/>
      <c r="B958" s="2"/>
      <c r="C958" s="2"/>
      <c r="D958" s="2"/>
      <c r="E958" s="2"/>
      <c r="F958" s="2"/>
      <c r="G958" s="2"/>
      <c r="H958" s="22"/>
      <c r="I958" s="22"/>
      <c r="J958" s="22"/>
      <c r="K958" s="22"/>
      <c r="L958" s="2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128"/>
      <c r="B959" s="2"/>
      <c r="C959" s="2"/>
      <c r="D959" s="2"/>
      <c r="E959" s="2"/>
      <c r="F959" s="2"/>
      <c r="G959" s="2"/>
      <c r="H959" s="22"/>
      <c r="I959" s="22"/>
      <c r="J959" s="22"/>
      <c r="K959" s="22"/>
      <c r="L959" s="2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128"/>
      <c r="B960" s="2"/>
      <c r="C960" s="2"/>
      <c r="D960" s="2"/>
      <c r="E960" s="2"/>
      <c r="F960" s="2"/>
      <c r="G960" s="2"/>
      <c r="H960" s="22"/>
      <c r="I960" s="22"/>
      <c r="J960" s="22"/>
      <c r="K960" s="22"/>
      <c r="L960" s="2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128"/>
      <c r="B961" s="2"/>
      <c r="C961" s="2"/>
      <c r="D961" s="2"/>
      <c r="E961" s="2"/>
      <c r="F961" s="2"/>
      <c r="G961" s="2"/>
      <c r="H961" s="22"/>
      <c r="I961" s="22"/>
      <c r="J961" s="22"/>
      <c r="K961" s="22"/>
      <c r="L961" s="2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128"/>
      <c r="B962" s="2"/>
      <c r="C962" s="2"/>
      <c r="D962" s="2"/>
      <c r="E962" s="2"/>
      <c r="F962" s="2"/>
      <c r="G962" s="2"/>
      <c r="H962" s="22"/>
      <c r="I962" s="22"/>
      <c r="J962" s="22"/>
      <c r="K962" s="22"/>
      <c r="L962" s="2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128"/>
      <c r="B963" s="2"/>
      <c r="C963" s="2"/>
      <c r="D963" s="2"/>
      <c r="E963" s="2"/>
      <c r="F963" s="2"/>
      <c r="G963" s="2"/>
      <c r="H963" s="22"/>
      <c r="I963" s="22"/>
      <c r="J963" s="22"/>
      <c r="K963" s="22"/>
      <c r="L963" s="2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128"/>
      <c r="B964" s="2"/>
      <c r="C964" s="2"/>
      <c r="D964" s="2"/>
      <c r="E964" s="2"/>
      <c r="F964" s="2"/>
      <c r="G964" s="2"/>
      <c r="H964" s="22"/>
      <c r="I964" s="22"/>
      <c r="J964" s="22"/>
      <c r="K964" s="22"/>
      <c r="L964" s="2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128"/>
      <c r="B965" s="2"/>
      <c r="C965" s="2"/>
      <c r="D965" s="2"/>
      <c r="E965" s="2"/>
      <c r="F965" s="2"/>
      <c r="G965" s="2"/>
      <c r="H965" s="22"/>
      <c r="I965" s="22"/>
      <c r="J965" s="22"/>
      <c r="K965" s="22"/>
      <c r="L965" s="2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128"/>
      <c r="B966" s="2"/>
      <c r="C966" s="2"/>
      <c r="D966" s="2"/>
      <c r="E966" s="2"/>
      <c r="F966" s="2"/>
      <c r="G966" s="2"/>
      <c r="H966" s="22"/>
      <c r="I966" s="22"/>
      <c r="J966" s="22"/>
      <c r="K966" s="22"/>
      <c r="L966" s="2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128"/>
      <c r="B967" s="2"/>
      <c r="C967" s="2"/>
      <c r="D967" s="2"/>
      <c r="E967" s="2"/>
      <c r="F967" s="2"/>
      <c r="G967" s="2"/>
      <c r="H967" s="22"/>
      <c r="I967" s="22"/>
      <c r="J967" s="22"/>
      <c r="K967" s="22"/>
      <c r="L967" s="2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128"/>
      <c r="B968" s="2"/>
      <c r="C968" s="2"/>
      <c r="D968" s="2"/>
      <c r="E968" s="2"/>
      <c r="F968" s="2"/>
      <c r="G968" s="2"/>
      <c r="H968" s="22"/>
      <c r="I968" s="22"/>
      <c r="J968" s="22"/>
      <c r="K968" s="22"/>
      <c r="L968" s="2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128"/>
      <c r="B969" s="2"/>
      <c r="C969" s="2"/>
      <c r="D969" s="2"/>
      <c r="E969" s="2"/>
      <c r="F969" s="2"/>
      <c r="G969" s="2"/>
      <c r="H969" s="22"/>
      <c r="I969" s="22"/>
      <c r="J969" s="22"/>
      <c r="K969" s="22"/>
      <c r="L969" s="2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128"/>
      <c r="B970" s="2"/>
      <c r="C970" s="2"/>
      <c r="D970" s="2"/>
      <c r="E970" s="2"/>
      <c r="F970" s="2"/>
      <c r="G970" s="2"/>
      <c r="H970" s="22"/>
      <c r="I970" s="22"/>
      <c r="J970" s="22"/>
      <c r="K970" s="22"/>
      <c r="L970" s="2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128"/>
      <c r="B971" s="2"/>
      <c r="C971" s="2"/>
      <c r="D971" s="2"/>
      <c r="E971" s="2"/>
      <c r="F971" s="2"/>
      <c r="G971" s="2"/>
      <c r="H971" s="22"/>
      <c r="I971" s="22"/>
      <c r="J971" s="22"/>
      <c r="K971" s="22"/>
      <c r="L971" s="2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128"/>
      <c r="B972" s="2"/>
      <c r="C972" s="2"/>
      <c r="D972" s="2"/>
      <c r="E972" s="2"/>
      <c r="F972" s="2"/>
      <c r="G972" s="2"/>
      <c r="H972" s="22"/>
      <c r="I972" s="22"/>
      <c r="J972" s="22"/>
      <c r="K972" s="22"/>
      <c r="L972" s="2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128"/>
      <c r="B973" s="2"/>
      <c r="C973" s="2"/>
      <c r="D973" s="2"/>
      <c r="E973" s="2"/>
      <c r="F973" s="2"/>
      <c r="G973" s="2"/>
      <c r="H973" s="22"/>
      <c r="I973" s="22"/>
      <c r="J973" s="22"/>
      <c r="K973" s="22"/>
      <c r="L973" s="2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128"/>
      <c r="B974" s="2"/>
      <c r="C974" s="2"/>
      <c r="D974" s="2"/>
      <c r="E974" s="2"/>
      <c r="F974" s="2"/>
      <c r="G974" s="2"/>
      <c r="H974" s="22"/>
      <c r="I974" s="22"/>
      <c r="J974" s="22"/>
      <c r="K974" s="22"/>
      <c r="L974" s="2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128"/>
      <c r="B975" s="2"/>
      <c r="C975" s="2"/>
      <c r="D975" s="2"/>
      <c r="E975" s="2"/>
      <c r="F975" s="2"/>
      <c r="G975" s="2"/>
      <c r="H975" s="22"/>
      <c r="I975" s="22"/>
      <c r="J975" s="22"/>
      <c r="K975" s="22"/>
      <c r="L975" s="2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128"/>
      <c r="B976" s="2"/>
      <c r="C976" s="2"/>
      <c r="D976" s="2"/>
      <c r="E976" s="2"/>
      <c r="F976" s="2"/>
      <c r="G976" s="2"/>
      <c r="H976" s="22"/>
      <c r="I976" s="22"/>
      <c r="J976" s="22"/>
      <c r="K976" s="22"/>
      <c r="L976" s="2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128"/>
      <c r="B977" s="2"/>
      <c r="C977" s="2"/>
      <c r="D977" s="2"/>
      <c r="E977" s="2"/>
      <c r="F977" s="2"/>
      <c r="G977" s="2"/>
      <c r="H977" s="22"/>
      <c r="I977" s="22"/>
      <c r="J977" s="22"/>
      <c r="K977" s="22"/>
      <c r="L977" s="2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128"/>
      <c r="B978" s="2"/>
      <c r="C978" s="2"/>
      <c r="D978" s="2"/>
      <c r="E978" s="2"/>
      <c r="F978" s="2"/>
      <c r="G978" s="2"/>
      <c r="H978" s="22"/>
      <c r="I978" s="22"/>
      <c r="J978" s="22"/>
      <c r="K978" s="22"/>
      <c r="L978" s="2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128"/>
      <c r="B979" s="2"/>
      <c r="C979" s="2"/>
      <c r="D979" s="2"/>
      <c r="E979" s="2"/>
      <c r="F979" s="2"/>
      <c r="G979" s="2"/>
      <c r="H979" s="22"/>
      <c r="I979" s="22"/>
      <c r="J979" s="22"/>
      <c r="K979" s="22"/>
      <c r="L979" s="2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128"/>
      <c r="B980" s="2"/>
      <c r="C980" s="2"/>
      <c r="D980" s="2"/>
      <c r="E980" s="2"/>
      <c r="F980" s="2"/>
      <c r="G980" s="2"/>
      <c r="H980" s="22"/>
      <c r="I980" s="22"/>
      <c r="J980" s="22"/>
      <c r="K980" s="22"/>
      <c r="L980" s="2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128"/>
      <c r="B981" s="2"/>
      <c r="C981" s="2"/>
      <c r="D981" s="2"/>
      <c r="E981" s="2"/>
      <c r="F981" s="2"/>
      <c r="G981" s="2"/>
      <c r="H981" s="22"/>
      <c r="I981" s="22"/>
      <c r="J981" s="22"/>
      <c r="K981" s="22"/>
      <c r="L981" s="2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128"/>
      <c r="B982" s="2"/>
      <c r="C982" s="2"/>
      <c r="D982" s="2"/>
      <c r="E982" s="2"/>
      <c r="F982" s="2"/>
      <c r="G982" s="2"/>
      <c r="H982" s="22"/>
      <c r="I982" s="22"/>
      <c r="J982" s="22"/>
      <c r="K982" s="22"/>
      <c r="L982" s="2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128"/>
      <c r="B983" s="2"/>
      <c r="C983" s="2"/>
      <c r="D983" s="2"/>
      <c r="E983" s="2"/>
      <c r="F983" s="2"/>
      <c r="G983" s="2"/>
      <c r="H983" s="22"/>
      <c r="I983" s="22"/>
      <c r="J983" s="22"/>
      <c r="K983" s="22"/>
      <c r="L983" s="2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28"/>
      <c r="B984" s="2"/>
      <c r="C984" s="2"/>
      <c r="D984" s="2"/>
      <c r="E984" s="2"/>
      <c r="F984" s="2"/>
      <c r="G984" s="2"/>
      <c r="H984" s="22"/>
      <c r="I984" s="22"/>
      <c r="J984" s="22"/>
      <c r="K984" s="22"/>
      <c r="L984" s="2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128"/>
      <c r="B985" s="2"/>
      <c r="C985" s="2"/>
      <c r="D985" s="2"/>
      <c r="E985" s="2"/>
      <c r="F985" s="2"/>
      <c r="G985" s="2"/>
      <c r="H985" s="22"/>
      <c r="I985" s="22"/>
      <c r="J985" s="22"/>
      <c r="K985" s="22"/>
      <c r="L985" s="2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128"/>
      <c r="B986" s="2"/>
      <c r="C986" s="2"/>
      <c r="D986" s="2"/>
      <c r="E986" s="2"/>
      <c r="F986" s="2"/>
      <c r="G986" s="2"/>
      <c r="H986" s="22"/>
      <c r="I986" s="22"/>
      <c r="J986" s="22"/>
      <c r="K986" s="22"/>
      <c r="L986" s="2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128"/>
      <c r="B987" s="2"/>
      <c r="C987" s="2"/>
      <c r="D987" s="2"/>
      <c r="E987" s="2"/>
      <c r="F987" s="2"/>
      <c r="G987" s="2"/>
      <c r="H987" s="22"/>
      <c r="I987" s="22"/>
      <c r="J987" s="22"/>
      <c r="K987" s="22"/>
      <c r="L987" s="2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128"/>
      <c r="B988" s="2"/>
      <c r="C988" s="2"/>
      <c r="D988" s="2"/>
      <c r="E988" s="2"/>
      <c r="F988" s="2"/>
      <c r="G988" s="2"/>
      <c r="H988" s="22"/>
      <c r="I988" s="22"/>
      <c r="J988" s="22"/>
      <c r="K988" s="22"/>
      <c r="L988" s="2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128"/>
      <c r="B989" s="2"/>
      <c r="C989" s="2"/>
      <c r="D989" s="2"/>
      <c r="E989" s="2"/>
      <c r="F989" s="2"/>
      <c r="G989" s="2"/>
      <c r="H989" s="22"/>
      <c r="I989" s="22"/>
      <c r="J989" s="22"/>
      <c r="K989" s="22"/>
      <c r="L989" s="2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128"/>
      <c r="B990" s="2"/>
      <c r="C990" s="2"/>
      <c r="D990" s="2"/>
      <c r="E990" s="2"/>
      <c r="F990" s="2"/>
      <c r="G990" s="2"/>
      <c r="H990" s="22"/>
      <c r="I990" s="22"/>
      <c r="J990" s="22"/>
      <c r="K990" s="22"/>
      <c r="L990" s="2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128"/>
      <c r="B991" s="2"/>
      <c r="C991" s="2"/>
      <c r="D991" s="2"/>
      <c r="E991" s="2"/>
      <c r="F991" s="2"/>
      <c r="G991" s="2"/>
      <c r="H991" s="22"/>
      <c r="I991" s="22"/>
      <c r="J991" s="22"/>
      <c r="K991" s="22"/>
      <c r="L991" s="2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128"/>
      <c r="B992" s="2"/>
      <c r="C992" s="2"/>
      <c r="D992" s="2"/>
      <c r="E992" s="2"/>
      <c r="F992" s="2"/>
      <c r="G992" s="2"/>
      <c r="H992" s="22"/>
      <c r="I992" s="22"/>
      <c r="J992" s="22"/>
      <c r="K992" s="22"/>
      <c r="L992" s="2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128"/>
      <c r="B993" s="2"/>
      <c r="C993" s="2"/>
      <c r="D993" s="2"/>
      <c r="E993" s="2"/>
      <c r="F993" s="2"/>
      <c r="G993" s="2"/>
      <c r="H993" s="22"/>
      <c r="I993" s="22"/>
      <c r="J993" s="22"/>
      <c r="K993" s="22"/>
      <c r="L993" s="2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128"/>
      <c r="B994" s="2"/>
      <c r="C994" s="2"/>
      <c r="D994" s="2"/>
      <c r="E994" s="2"/>
      <c r="F994" s="2"/>
      <c r="G994" s="2"/>
      <c r="H994" s="22"/>
      <c r="I994" s="22"/>
      <c r="J994" s="22"/>
      <c r="K994" s="22"/>
      <c r="L994" s="2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128"/>
      <c r="B995" s="2"/>
      <c r="C995" s="2"/>
      <c r="D995" s="2"/>
      <c r="E995" s="2"/>
      <c r="F995" s="2"/>
      <c r="G995" s="2"/>
      <c r="H995" s="22"/>
      <c r="I995" s="22"/>
      <c r="J995" s="22"/>
      <c r="K995" s="22"/>
      <c r="L995" s="2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128"/>
      <c r="B996" s="2"/>
      <c r="C996" s="2"/>
      <c r="D996" s="2"/>
      <c r="E996" s="2"/>
      <c r="F996" s="2"/>
      <c r="G996" s="2"/>
      <c r="H996" s="22"/>
      <c r="I996" s="22"/>
      <c r="J996" s="22"/>
      <c r="K996" s="22"/>
      <c r="L996" s="2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128"/>
      <c r="B997" s="2"/>
      <c r="C997" s="2"/>
      <c r="D997" s="2"/>
      <c r="E997" s="2"/>
      <c r="F997" s="2"/>
      <c r="G997" s="2"/>
      <c r="H997" s="22"/>
      <c r="I997" s="22"/>
      <c r="J997" s="22"/>
      <c r="K997" s="22"/>
      <c r="L997" s="2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128"/>
      <c r="B998" s="2"/>
      <c r="C998" s="2"/>
      <c r="D998" s="2"/>
      <c r="E998" s="2"/>
      <c r="F998" s="2"/>
      <c r="G998" s="2"/>
      <c r="H998" s="22"/>
      <c r="I998" s="22"/>
      <c r="J998" s="22"/>
      <c r="K998" s="22"/>
      <c r="L998" s="2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128"/>
      <c r="B999" s="2"/>
      <c r="C999" s="2"/>
      <c r="D999" s="2"/>
      <c r="E999" s="2"/>
      <c r="F999" s="2"/>
      <c r="G999" s="2"/>
      <c r="H999" s="22"/>
      <c r="I999" s="22"/>
      <c r="J999" s="22"/>
      <c r="K999" s="22"/>
      <c r="L999" s="2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128"/>
      <c r="B1000" s="2"/>
      <c r="C1000" s="2"/>
      <c r="D1000" s="2"/>
      <c r="E1000" s="2"/>
      <c r="F1000" s="2"/>
      <c r="G1000" s="2"/>
      <c r="H1000" s="22"/>
      <c r="I1000" s="22"/>
      <c r="J1000" s="22"/>
      <c r="K1000" s="22"/>
      <c r="L1000" s="2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3:A6"/>
    <mergeCell ref="B3:B5"/>
    <mergeCell ref="C3:G3"/>
    <mergeCell ref="H3:L3"/>
    <mergeCell ref="C4:C5"/>
    <mergeCell ref="D4:G4"/>
    <mergeCell ref="H4:H5"/>
    <mergeCell ref="I4:L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2021-12-27T00:10:13Z</dcterms:created>
  <dc:creator>PSA</dc:creator>
</cp:coreProperties>
</file>